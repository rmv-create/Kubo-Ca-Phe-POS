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1 - Menu &amp; Prices" sheetId="2" state="visible" r:id="rId2"/>
    <sheet name="2 - Customisations" sheetId="3" state="visible" r:id="rId3"/>
    <sheet name="3 - Drink Rules" sheetId="4" state="visible" r:id="rId4"/>
    <sheet name="4 - Ingredients" sheetId="5" state="visible" r:id="rId5"/>
    <sheet name="5 - Recipes" sheetId="6" state="visible" r:id="rId6"/>
    <sheet name="6 - Suppliers" sheetId="7" state="visible" r:id="rId7"/>
    <sheet name="7 - Business Setup" sheetId="8" state="visible" r:id="rId8"/>
    <sheet name="8 - Your Questions" sheetId="9" state="visible" r:id="rId9"/>
  </sheets>
  <definedNames/>
  <calcPr calcId="124519" fullCalcOnLoad="1"/>
</workbook>
</file>

<file path=xl/styles.xml><?xml version="1.0" encoding="utf-8"?>
<styleSheet xmlns="http://schemas.openxmlformats.org/spreadsheetml/2006/main">
  <numFmts count="3">
    <numFmt numFmtId="164" formatCode="&quot;₱&quot;#,##0.00"/>
    <numFmt numFmtId="165" formatCode="0.0%"/>
    <numFmt numFmtId="166" formatCode="&quot;₱&quot;#,##0.0000"/>
  </numFmts>
  <fonts count="14">
    <font>
      <name val="Calibri"/>
      <family val="2"/>
      <color theme="1"/>
      <sz val="11"/>
      <scheme val="minor"/>
    </font>
    <font>
      <name val="Arial"/>
      <b val="1"/>
      <color rgb="0020180F"/>
      <sz val="20"/>
    </font>
    <font>
      <name val="Arial"/>
      <color rgb="009B3B2C"/>
      <sz val="13"/>
    </font>
    <font>
      <name val="Arial"/>
      <b val="1"/>
      <sz val="11"/>
    </font>
    <font>
      <name val="Arial"/>
      <sz val="10"/>
    </font>
    <font>
      <name val="Arial"/>
      <b val="1"/>
      <sz val="10"/>
    </font>
    <font>
      <name val="Arial"/>
      <b val="1"/>
      <color rgb="009B3B2C"/>
      <sz val="11"/>
    </font>
    <font>
      <name val="Arial"/>
      <b val="1"/>
      <color rgb="009B3B2C"/>
      <sz val="10"/>
    </font>
    <font>
      <name val="Arial"/>
      <b val="1"/>
      <color rgb="0020180F"/>
      <sz val="16"/>
    </font>
    <font>
      <name val="Arial"/>
      <color rgb="00555555"/>
      <sz val="10"/>
    </font>
    <font>
      <name val="Arial"/>
      <b val="1"/>
      <color rgb="00FFFFFF"/>
      <sz val="10"/>
    </font>
    <font>
      <name val="Arial"/>
      <color rgb="000000FF"/>
      <sz val="10"/>
    </font>
    <font>
      <name val="Arial"/>
      <color rgb="00666666"/>
      <sz val="9"/>
    </font>
    <font>
      <name val="Arial"/>
      <i val="1"/>
      <color rgb="00888888"/>
      <sz val="9"/>
    </font>
  </fonts>
  <fills count="9">
    <fill>
      <patternFill/>
    </fill>
    <fill>
      <patternFill patternType="gray125"/>
    </fill>
    <fill>
      <patternFill patternType="solid">
        <fgColor rgb="00FFF2C2"/>
      </patternFill>
    </fill>
    <fill>
      <patternFill patternType="solid">
        <fgColor rgb="00E8E8E8"/>
      </patternFill>
    </fill>
    <fill>
      <patternFill patternType="solid">
        <fgColor rgb="00E4EEE6"/>
      </patternFill>
    </fill>
    <fill>
      <patternFill patternType="solid">
        <fgColor rgb="00F2F2F2"/>
      </patternFill>
    </fill>
    <fill>
      <patternFill patternType="solid">
        <fgColor rgb="0020180F"/>
      </patternFill>
    </fill>
    <fill>
      <patternFill patternType="solid">
        <fgColor rgb="00EFE6D6"/>
      </patternFill>
    </fill>
    <fill>
      <patternFill patternType="solid">
        <fgColor rgb="00FFFFFF"/>
      </patternFill>
    </fill>
  </fills>
  <borders count="6">
    <border>
      <left/>
      <right/>
      <top/>
      <bottom/>
      <diagonal/>
    </border>
    <border>
      <left style="thin">
        <color rgb="00BBBBBB"/>
      </left>
      <right style="thin">
        <color rgb="00BBBBBB"/>
      </right>
      <top style="thin">
        <color rgb="00BBBBBB"/>
      </top>
      <bottom style="thin">
        <color rgb="00BBBBBB"/>
      </bottom>
    </border>
    <border>
      <left/>
      <right/>
      <top style="thin">
        <color rgb="00BBBBBB"/>
      </top>
      <bottom/>
      <diagonal/>
    </border>
    <border>
      <left/>
      <right style="thin">
        <color rgb="00BBBBBB"/>
      </right>
      <top style="thin">
        <color rgb="00BBBBBB"/>
      </top>
      <bottom/>
      <diagonal/>
    </border>
    <border>
      <left/>
      <right/>
      <top style="thin">
        <color rgb="00BBBBBB"/>
      </top>
      <bottom style="thin">
        <color rgb="00BBBBBB"/>
      </bottom>
      <diagonal/>
    </border>
    <border>
      <left/>
      <right style="thin">
        <color rgb="00BBBBBB"/>
      </right>
      <top style="thin">
        <color rgb="00BBBBBB"/>
      </top>
      <bottom style="thin">
        <color rgb="00BBBBBB"/>
      </bottom>
      <diagonal/>
    </border>
  </borders>
  <cellStyleXfs count="1">
    <xf numFmtId="0" fontId="0" fillId="0" borderId="0"/>
  </cellStyleXfs>
  <cellXfs count="4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applyAlignment="1" pivotButton="0" quotePrefix="0" xfId="0">
      <alignment vertical="center" wrapText="1"/>
    </xf>
    <xf numFmtId="0" fontId="5" fillId="2" borderId="1" pivotButton="0" quotePrefix="0" xfId="0"/>
    <xf numFmtId="0" fontId="4" fillId="0" borderId="0" pivotButton="0" quotePrefix="0" xfId="0"/>
    <xf numFmtId="0" fontId="5" fillId="3" borderId="1" pivotButton="0" quotePrefix="0" xfId="0"/>
    <xf numFmtId="0" fontId="5" fillId="4" borderId="1" pivotButton="0" quotePrefix="0" xfId="0"/>
    <xf numFmtId="0" fontId="5" fillId="5" borderId="1" pivotButton="0" quotePrefix="0" xfId="0"/>
    <xf numFmtId="0" fontId="6" fillId="0" borderId="0" pivotButton="0" quotePrefix="0" xfId="0"/>
    <xf numFmtId="0" fontId="7" fillId="0" borderId="0" applyAlignment="1" pivotButton="0" quotePrefix="0" xfId="0">
      <alignment vertical="top" wrapText="1"/>
    </xf>
    <xf numFmtId="0" fontId="8" fillId="0" borderId="0" pivotButton="0" quotePrefix="0" xfId="0"/>
    <xf numFmtId="0" fontId="9" fillId="0" borderId="0" applyAlignment="1" pivotButton="0" quotePrefix="0" xfId="0">
      <alignment vertical="top" wrapText="1"/>
    </xf>
    <xf numFmtId="0" fontId="10" fillId="6" borderId="1" applyAlignment="1" pivotButton="0" quotePrefix="0" xfId="0">
      <alignment horizontal="left" vertical="center" wrapText="1"/>
    </xf>
    <xf numFmtId="0" fontId="4" fillId="3" borderId="1" applyAlignment="1" pivotButton="0" quotePrefix="0" xfId="0">
      <alignment vertical="center"/>
    </xf>
    <xf numFmtId="0" fontId="4" fillId="3" borderId="1" applyAlignment="1" pivotButton="0" quotePrefix="0" xfId="0">
      <alignment vertical="center" wrapText="1"/>
    </xf>
    <xf numFmtId="164" fontId="4" fillId="3" borderId="1" applyAlignment="1" pivotButton="0" quotePrefix="0" xfId="0">
      <alignment vertical="center"/>
    </xf>
    <xf numFmtId="164" fontId="4" fillId="4" borderId="1" applyAlignment="1" pivotButton="0" quotePrefix="0" xfId="0">
      <alignment vertical="center"/>
    </xf>
    <xf numFmtId="165" fontId="4" fillId="4" borderId="1" applyAlignment="1" pivotButton="0" quotePrefix="0" xfId="0">
      <alignment vertical="center"/>
    </xf>
    <xf numFmtId="0" fontId="4" fillId="2" borderId="1" applyAlignment="1" pivotButton="0" quotePrefix="0" xfId="0">
      <alignment vertical="center" wrapText="1"/>
    </xf>
    <xf numFmtId="0" fontId="4" fillId="7" borderId="1" applyAlignment="1" pivotButton="0" quotePrefix="0" xfId="0">
      <alignment vertical="center"/>
    </xf>
    <xf numFmtId="0" fontId="4" fillId="7" borderId="1" applyAlignment="1" pivotButton="0" quotePrefix="0" xfId="0">
      <alignment vertical="center" wrapText="1"/>
    </xf>
    <xf numFmtId="164" fontId="11" fillId="2" borderId="1" applyAlignment="1" pivotButton="0" quotePrefix="0" xfId="0">
      <alignment vertical="center"/>
    </xf>
    <xf numFmtId="0" fontId="4" fillId="2" borderId="1" applyAlignment="1" pivotButton="0" quotePrefix="0" xfId="0">
      <alignment vertical="center"/>
    </xf>
    <xf numFmtId="0" fontId="11" fillId="2" borderId="1" pivotButton="0" quotePrefix="0" xfId="0"/>
    <xf numFmtId="0" fontId="12" fillId="0" borderId="0" pivotButton="0" quotePrefix="0" xfId="0"/>
    <xf numFmtId="0" fontId="7" fillId="0" borderId="0" pivotButton="0" quotePrefix="0" xfId="0"/>
    <xf numFmtId="0" fontId="0" fillId="0" borderId="4" pivotButton="0" quotePrefix="0" xfId="0"/>
    <xf numFmtId="0" fontId="0" fillId="0" borderId="5" pivotButton="0" quotePrefix="0" xfId="0"/>
    <xf numFmtId="0" fontId="13" fillId="5" borderId="1" applyAlignment="1" pivotButton="0" quotePrefix="0" xfId="0">
      <alignment vertical="center" wrapText="1"/>
    </xf>
    <xf numFmtId="0" fontId="13" fillId="5" borderId="1" pivotButton="0" quotePrefix="0" xfId="0"/>
    <xf numFmtId="164" fontId="13" fillId="5" borderId="1" pivotButton="0" quotePrefix="0" xfId="0"/>
    <xf numFmtId="166" fontId="13" fillId="5" borderId="1" pivotButton="0" quotePrefix="0" xfId="0"/>
    <xf numFmtId="164" fontId="11" fillId="2" borderId="1" pivotButton="0" quotePrefix="0" xfId="0"/>
    <xf numFmtId="166" fontId="11" fillId="4" borderId="1" pivotButton="0" quotePrefix="0" xfId="0"/>
    <xf numFmtId="0" fontId="4" fillId="3" borderId="1" pivotButton="0" quotePrefix="0" xfId="0"/>
    <xf numFmtId="0" fontId="11" fillId="8" borderId="1" pivotButton="0" quotePrefix="0" xfId="0"/>
    <xf numFmtId="164" fontId="11" fillId="4" borderId="1" pivotButton="0" quotePrefix="0" xfId="0"/>
    <xf numFmtId="0" fontId="12" fillId="0" borderId="1" applyAlignment="1" pivotButton="0" quotePrefix="0" xfId="0">
      <alignment vertical="center" wrapText="1"/>
    </xf>
    <xf numFmtId="0" fontId="4" fillId="7" borderId="1" applyAlignment="1" pivotButton="0" quotePrefix="0" xfId="0">
      <alignment vertical="top" wrapText="1"/>
    </xf>
    <xf numFmtId="0" fontId="1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6"/>
  <sheetViews>
    <sheetView showGridLines="0" workbookViewId="0">
      <selection activeCell="A1" sqref="A1"/>
    </sheetView>
  </sheetViews>
  <sheetFormatPr baseColWidth="8" defaultRowHeight="15"/>
  <cols>
    <col width="3" customWidth="1" min="1" max="1"/>
    <col width="26" customWidth="1" min="2" max="2"/>
    <col width="96" customWidth="1" min="3" max="3"/>
  </cols>
  <sheetData>
    <row r="2">
      <c r="B2" s="1" t="inlineStr">
        <is>
          <t>KUBO CA PHE</t>
        </is>
      </c>
    </row>
    <row r="3">
      <c r="B3" s="2" t="inlineStr">
        <is>
          <t>POS setup worksheet</t>
        </is>
      </c>
    </row>
    <row r="5" ht="58" customHeight="1">
      <c r="B5" s="3" t="inlineStr">
        <is>
          <t>What this is</t>
        </is>
      </c>
      <c r="C5" s="4" t="inlineStr">
        <is>
          <t>This is everything the app needs to know about your coffee business. You do not have to finish it in one go, and you do not have to finish it at all — every one of these can also be typed straight into the app once it is on your phone. This sheet just makes it easier to gather, especially the recipe and cost pages, which are much simpler to work out with a scale on the counter than with a phone in your hand.</t>
        </is>
      </c>
    </row>
    <row r="7">
      <c r="B7" s="3" t="inlineStr">
        <is>
          <t>Fill it in this order</t>
        </is>
      </c>
    </row>
    <row r="8" ht="18" customHeight="1">
      <c r="B8" s="5" t="inlineStr">
        <is>
          <t>1 · Menu &amp; Prices</t>
        </is>
      </c>
      <c r="C8" s="6" t="inlineStr">
        <is>
          <t>Start here. Most of it is already filled in from your menu card — you mainly need to answer the size question.</t>
        </is>
      </c>
    </row>
    <row r="9" ht="18" customHeight="1">
      <c r="B9" s="5" t="inlineStr">
        <is>
          <t>2 · Customisations</t>
        </is>
      </c>
      <c r="C9" s="6" t="inlineStr">
        <is>
          <t>Milk, ice, sweetness, syrups, extras — and what each one costs the customer.</t>
        </is>
      </c>
    </row>
    <row r="10" ht="18" customHeight="1">
      <c r="B10" s="5" t="inlineStr">
        <is>
          <t>3 · Drink Rules</t>
        </is>
      </c>
      <c r="C10" s="6" t="inlineStr">
        <is>
          <t>Which of those choices each drink actually offers, and what is picked by default.</t>
        </is>
      </c>
    </row>
    <row r="11" ht="18" customHeight="1">
      <c r="B11" s="5" t="inlineStr">
        <is>
          <t>4 · Ingredients</t>
        </is>
      </c>
      <c r="C11" s="6" t="inlineStr">
        <is>
          <t>Everything you buy, including cups and lids. What you pay, and when to reorder.</t>
        </is>
      </c>
    </row>
    <row r="12" ht="18" customHeight="1">
      <c r="B12" s="5" t="inlineStr">
        <is>
          <t>5 · Recipes</t>
        </is>
      </c>
      <c r="C12" s="6" t="inlineStr">
        <is>
          <t>What goes into each drink. This is the big one — take your time.</t>
        </is>
      </c>
    </row>
    <row r="13" ht="18" customHeight="1">
      <c r="B13" s="5" t="inlineStr">
        <is>
          <t>6 · Suppliers</t>
        </is>
      </c>
      <c r="C13" s="6" t="inlineStr">
        <is>
          <t>Who you buy from. Quick.</t>
        </is>
      </c>
    </row>
    <row r="14" ht="18" customHeight="1">
      <c r="B14" s="5" t="inlineStr">
        <is>
          <t>7 · Business Setup</t>
        </is>
      </c>
      <c r="C14" s="6" t="inlineStr">
        <is>
          <t>Name, hours, order numbers. Two minutes.</t>
        </is>
      </c>
    </row>
    <row r="15" ht="18" customHeight="1">
      <c r="B15" s="5" t="inlineStr">
        <is>
          <t>8 · Your Questions</t>
        </is>
      </c>
      <c r="C15" s="6" t="inlineStr">
        <is>
          <t>Anything you want to ask, or anything the sheet did not cover.</t>
        </is>
      </c>
    </row>
    <row r="17">
      <c r="B17" s="3" t="inlineStr">
        <is>
          <t>What the colours mean</t>
        </is>
      </c>
    </row>
    <row r="18" ht="18" customHeight="1">
      <c r="B18" s="7" t="inlineStr">
        <is>
          <t xml:space="preserve">   Please fill this in</t>
        </is>
      </c>
      <c r="C18" s="8" t="inlineStr">
        <is>
          <t>Yellow cells are the ones waiting on you.</t>
        </is>
      </c>
    </row>
    <row r="19" ht="18" customHeight="1">
      <c r="B19" s="9" t="inlineStr">
        <is>
          <t xml:space="preserve">   Already known — just check</t>
        </is>
      </c>
      <c r="C19" s="8" t="inlineStr">
        <is>
          <t>Taken straight off your menu card. Correct it if I read it wrong.</t>
        </is>
      </c>
    </row>
    <row r="20" ht="18" customHeight="1">
      <c r="B20" s="10" t="inlineStr">
        <is>
          <t xml:space="preserve">   Worked out for you</t>
        </is>
      </c>
      <c r="C20" s="8" t="inlineStr">
        <is>
          <t>Green cells calculate themselves — cost, profit and margin. Do not type in these.</t>
        </is>
      </c>
    </row>
    <row r="21" ht="18" customHeight="1">
      <c r="B21" s="11" t="inlineStr">
        <is>
          <t xml:space="preserve">   Example row</t>
        </is>
      </c>
      <c r="C21" s="8" t="inlineStr">
        <is>
          <t>Grey italic rows show the format expected. Delete them, or type over them.</t>
        </is>
      </c>
    </row>
    <row r="24" ht="60" customHeight="1">
      <c r="B24" s="12" t="inlineStr">
        <is>
          <t>The one thing to decide first</t>
        </is>
      </c>
      <c r="C24" s="13" t="inlineStr">
        <is>
          <t>Your menu card shows ONE size for each drink — 16oz for everything except Vietnamese Coffee, which is 12oz. The plan I was given assumed two sizes (Small 12oz and Grande 16oz) on every drink. Those do not match, so sheet 1 asks you which is true. If it really is one size per drink, the app skips the size step entirely and every order is one tap faster.</t>
        </is>
      </c>
    </row>
    <row r="26" ht="32" customHeight="1">
      <c r="B26" s="3" t="inlineStr">
        <is>
          <t>Nothing is invented</t>
        </is>
      </c>
      <c r="C26" s="4" t="inlineStr">
        <is>
          <t>No price, recipe quantity or ingredient cost in this workbook was made up. Everything already filled in came off your menu card. Everything else is blank, waiting for your real numbers.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7"/>
  <sheetViews>
    <sheetView showGridLines="0" workbookViewId="0">
      <pane ySplit="4" topLeftCell="A5" activePane="bottomLeft" state="frozen"/>
      <selection pane="bottomLeft" activeCell="A1" sqref="A1"/>
    </sheetView>
  </sheetViews>
  <sheetFormatPr baseColWidth="8" defaultRowHeight="15"/>
  <cols>
    <col width="17" customWidth="1" min="1" max="1"/>
    <col width="30" customWidth="1" min="2" max="2"/>
    <col width="12" customWidth="1" min="3" max="3"/>
    <col width="7" customWidth="1" min="4" max="4"/>
    <col width="12" customWidth="1" min="5" max="5"/>
    <col width="14" customWidth="1" min="6" max="6"/>
    <col width="14" customWidth="1" min="7" max="7"/>
    <col width="10" customWidth="1" min="8" max="8"/>
    <col width="14" customWidth="1" min="9" max="9"/>
    <col width="52" customWidth="1" min="10" max="10"/>
    <col width="30" customWidth="1" min="11" max="11"/>
  </cols>
  <sheetData>
    <row r="1" ht="22" customHeight="1">
      <c r="A1" s="14" t="inlineStr">
        <is>
          <t>Menu &amp; prices</t>
        </is>
      </c>
    </row>
    <row r="2" ht="30" customHeight="1">
      <c r="A2" s="15" t="inlineStr">
        <is>
          <t>Grey rows are read off your menu card — please just check them. The yellow rows are for a second size, IF you want one: fill the price and I will add it, leave the whole row blank and that drink stays one size only. The green columns fill themselves once you have done the Recipes sheet.</t>
        </is>
      </c>
    </row>
    <row r="4" ht="30" customHeight="1">
      <c r="A4" s="16" t="inlineStr">
        <is>
          <t>Category</t>
        </is>
      </c>
      <c r="B4" s="16" t="inlineStr">
        <is>
          <t>Drink</t>
        </is>
      </c>
      <c r="C4" s="16" t="inlineStr">
        <is>
          <t>Size name</t>
        </is>
      </c>
      <c r="D4" s="16" t="inlineStr">
        <is>
          <t>oz</t>
        </is>
      </c>
      <c r="E4" s="16" t="inlineStr">
        <is>
          <t>Price ₱</t>
        </is>
      </c>
      <c r="F4" s="16" t="inlineStr">
        <is>
          <t>Recipe cost ₱</t>
        </is>
      </c>
      <c r="G4" s="16" t="inlineStr">
        <is>
          <t>Gross profit ₱</t>
        </is>
      </c>
      <c r="H4" s="16" t="inlineStr">
        <is>
          <t>Margin %</t>
        </is>
      </c>
      <c r="I4" s="16" t="inlineStr">
        <is>
          <t>On the menu?</t>
        </is>
      </c>
      <c r="J4" s="16" t="inlineStr">
        <is>
          <t>Description</t>
        </is>
      </c>
      <c r="K4" s="16" t="inlineStr">
        <is>
          <t>Your notes</t>
        </is>
      </c>
    </row>
    <row r="5" ht="30" customHeight="1">
      <c r="A5" s="17" t="inlineStr">
        <is>
          <t>Classics</t>
        </is>
      </c>
      <c r="B5" s="18" t="inlineStr">
        <is>
          <t>Black</t>
        </is>
      </c>
      <c r="C5" s="17" t="inlineStr">
        <is>
          <t>Grande</t>
        </is>
      </c>
      <c r="D5" s="17" t="n">
        <v>16</v>
      </c>
      <c r="E5" s="19" t="n">
        <v>129</v>
      </c>
      <c r="F5" s="20">
        <f>IFERROR(SUMIFS('5 - Recipes'!$G$5:$G$80,'5 - Recipes'!$A$5:$A$80,$B5,'5 - Recipes'!$B$5:$B$80,$C5),0)</f>
        <v/>
      </c>
      <c r="G5" s="20">
        <f>IF($E5="","",$E5-$F5)</f>
        <v/>
      </c>
      <c r="H5" s="21">
        <f>IF(OR($E5="",$E5=0),"",$G5/$E5)</f>
        <v/>
      </c>
      <c r="I5" s="17" t="inlineStr">
        <is>
          <t>Yes</t>
        </is>
      </c>
      <c r="J5" s="18" t="inlineStr">
        <is>
          <t>Phin-brewed coffee served black. Bold, smooth and clean.</t>
        </is>
      </c>
      <c r="K5" s="22" t="n"/>
    </row>
    <row r="6" ht="22" customHeight="1">
      <c r="A6" s="23" t="inlineStr">
        <is>
          <t>Classics</t>
        </is>
      </c>
      <c r="B6" s="24" t="inlineStr">
        <is>
          <t>Black</t>
        </is>
      </c>
      <c r="C6" s="23" t="inlineStr">
        <is>
          <t>Small</t>
        </is>
      </c>
      <c r="D6" s="23" t="n">
        <v>12</v>
      </c>
      <c r="E6" s="25" t="n"/>
      <c r="F6" s="20">
        <f>IFERROR(SUMIFS('5 - Recipes'!$G$5:$G$80,'5 - Recipes'!$A$5:$A$80,$B6,'5 - Recipes'!$B$5:$B$80,$C6),0)</f>
        <v/>
      </c>
      <c r="G6" s="20">
        <f>IF($E6="","",$E6-$F6)</f>
        <v/>
      </c>
      <c r="H6" s="21">
        <f>IF(OR($E6="",$E6=0),"",$G6/$E6)</f>
        <v/>
      </c>
      <c r="I6" s="26" t="n"/>
      <c r="J6" s="22" t="n"/>
      <c r="K6" s="22" t="n"/>
    </row>
    <row r="7" ht="30" customHeight="1">
      <c r="A7" s="17" t="inlineStr">
        <is>
          <t>Classics</t>
        </is>
      </c>
      <c r="B7" s="18" t="inlineStr">
        <is>
          <t>Spanish Latte</t>
        </is>
      </c>
      <c r="C7" s="17" t="inlineStr">
        <is>
          <t>Grande</t>
        </is>
      </c>
      <c r="D7" s="17" t="n">
        <v>16</v>
      </c>
      <c r="E7" s="19" t="n">
        <v>139</v>
      </c>
      <c r="F7" s="20">
        <f>IFERROR(SUMIFS('5 - Recipes'!$G$5:$G$80,'5 - Recipes'!$A$5:$A$80,$B7,'5 - Recipes'!$B$5:$B$80,$C7),0)</f>
        <v/>
      </c>
      <c r="G7" s="20">
        <f>IF($E7="","",$E7-$F7)</f>
        <v/>
      </c>
      <c r="H7" s="21">
        <f>IF(OR($E7="",$E7=0),"",$G7/$E7)</f>
        <v/>
      </c>
      <c r="I7" s="17" t="inlineStr">
        <is>
          <t>Yes</t>
        </is>
      </c>
      <c r="J7" s="18" t="inlineStr">
        <is>
          <t>Bold phin coffee with creamy milk and a touch of sweetness.</t>
        </is>
      </c>
      <c r="K7" s="22" t="n"/>
    </row>
    <row r="8" ht="22" customHeight="1">
      <c r="A8" s="23" t="inlineStr">
        <is>
          <t>Classics</t>
        </is>
      </c>
      <c r="B8" s="24" t="inlineStr">
        <is>
          <t>Spanish Latte</t>
        </is>
      </c>
      <c r="C8" s="23" t="inlineStr">
        <is>
          <t>Small</t>
        </is>
      </c>
      <c r="D8" s="23" t="n">
        <v>12</v>
      </c>
      <c r="E8" s="25" t="n"/>
      <c r="F8" s="20">
        <f>IFERROR(SUMIFS('5 - Recipes'!$G$5:$G$80,'5 - Recipes'!$A$5:$A$80,$B8,'5 - Recipes'!$B$5:$B$80,$C8),0)</f>
        <v/>
      </c>
      <c r="G8" s="20">
        <f>IF($E8="","",$E8-$F8)</f>
        <v/>
      </c>
      <c r="H8" s="21">
        <f>IF(OR($E8="",$E8=0),"",$G8/$E8)</f>
        <v/>
      </c>
      <c r="I8" s="26" t="n"/>
      <c r="J8" s="22" t="n"/>
      <c r="K8" s="22" t="n"/>
    </row>
    <row r="9" ht="30" customHeight="1">
      <c r="A9" s="17" t="inlineStr">
        <is>
          <t>Classics</t>
        </is>
      </c>
      <c r="B9" s="18" t="inlineStr">
        <is>
          <t>Caramel Macchiato with Cold Foam</t>
        </is>
      </c>
      <c r="C9" s="17" t="inlineStr">
        <is>
          <t>Grande</t>
        </is>
      </c>
      <c r="D9" s="17" t="n">
        <v>16</v>
      </c>
      <c r="E9" s="19" t="n">
        <v>139</v>
      </c>
      <c r="F9" s="20">
        <f>IFERROR(SUMIFS('5 - Recipes'!$G$5:$G$80,'5 - Recipes'!$A$5:$A$80,$B9,'5 - Recipes'!$B$5:$B$80,$C9),0)</f>
        <v/>
      </c>
      <c r="G9" s="20">
        <f>IF($E9="","",$E9-$F9)</f>
        <v/>
      </c>
      <c r="H9" s="21">
        <f>IF(OR($E9="",$E9=0),"",$G9/$E9)</f>
        <v/>
      </c>
      <c r="I9" s="17" t="inlineStr">
        <is>
          <t>Yes</t>
        </is>
      </c>
      <c r="J9" s="18" t="inlineStr">
        <is>
          <t>Smooth milk, vanilla and caramel with our signature cold foam.</t>
        </is>
      </c>
      <c r="K9" s="22" t="n"/>
    </row>
    <row r="10" ht="22" customHeight="1">
      <c r="A10" s="23" t="inlineStr">
        <is>
          <t>Classics</t>
        </is>
      </c>
      <c r="B10" s="24" t="inlineStr">
        <is>
          <t>Caramel Macchiato with Cold Foam</t>
        </is>
      </c>
      <c r="C10" s="23" t="inlineStr">
        <is>
          <t>Small</t>
        </is>
      </c>
      <c r="D10" s="23" t="n">
        <v>12</v>
      </c>
      <c r="E10" s="25" t="n"/>
      <c r="F10" s="20">
        <f>IFERROR(SUMIFS('5 - Recipes'!$G$5:$G$80,'5 - Recipes'!$A$5:$A$80,$B10,'5 - Recipes'!$B$5:$B$80,$C10),0)</f>
        <v/>
      </c>
      <c r="G10" s="20">
        <f>IF($E10="","",$E10-$F10)</f>
        <v/>
      </c>
      <c r="H10" s="21">
        <f>IF(OR($E10="",$E10=0),"",$G10/$E10)</f>
        <v/>
      </c>
      <c r="I10" s="26" t="n"/>
      <c r="J10" s="22" t="n"/>
      <c r="K10" s="22" t="n"/>
    </row>
    <row r="11" ht="30" customHeight="1">
      <c r="A11" s="17" t="inlineStr">
        <is>
          <t>Classics</t>
        </is>
      </c>
      <c r="B11" s="18" t="inlineStr">
        <is>
          <t>Matcha Latte</t>
        </is>
      </c>
      <c r="C11" s="17" t="inlineStr">
        <is>
          <t>Grande</t>
        </is>
      </c>
      <c r="D11" s="17" t="n">
        <v>16</v>
      </c>
      <c r="E11" s="19" t="n">
        <v>139</v>
      </c>
      <c r="F11" s="20">
        <f>IFERROR(SUMIFS('5 - Recipes'!$G$5:$G$80,'5 - Recipes'!$A$5:$A$80,$B11,'5 - Recipes'!$B$5:$B$80,$C11),0)</f>
        <v/>
      </c>
      <c r="G11" s="20">
        <f>IF($E11="","",$E11-$F11)</f>
        <v/>
      </c>
      <c r="H11" s="21">
        <f>IF(OR($E11="",$E11=0),"",$G11/$E11)</f>
        <v/>
      </c>
      <c r="I11" s="17" t="inlineStr">
        <is>
          <t>Yes</t>
        </is>
      </c>
      <c r="J11" s="18" t="inlineStr">
        <is>
          <t>Vibrant matcha with creamy milk. Smooth, earthy and lightly sweet.</t>
        </is>
      </c>
      <c r="K11" s="22" t="n"/>
    </row>
    <row r="12" ht="22" customHeight="1">
      <c r="A12" s="23" t="inlineStr">
        <is>
          <t>Classics</t>
        </is>
      </c>
      <c r="B12" s="24" t="inlineStr">
        <is>
          <t>Matcha Latte</t>
        </is>
      </c>
      <c r="C12" s="23" t="inlineStr">
        <is>
          <t>Small</t>
        </is>
      </c>
      <c r="D12" s="23" t="n">
        <v>12</v>
      </c>
      <c r="E12" s="25" t="n"/>
      <c r="F12" s="20">
        <f>IFERROR(SUMIFS('5 - Recipes'!$G$5:$G$80,'5 - Recipes'!$A$5:$A$80,$B12,'5 - Recipes'!$B$5:$B$80,$C12),0)</f>
        <v/>
      </c>
      <c r="G12" s="20">
        <f>IF($E12="","",$E12-$F12)</f>
        <v/>
      </c>
      <c r="H12" s="21">
        <f>IF(OR($E12="",$E12=0),"",$G12/$E12)</f>
        <v/>
      </c>
      <c r="I12" s="26" t="n"/>
      <c r="J12" s="22" t="n"/>
      <c r="K12" s="22" t="n"/>
    </row>
    <row r="13" ht="30" customHeight="1">
      <c r="A13" s="17" t="inlineStr">
        <is>
          <t>Specialty Coffee</t>
        </is>
      </c>
      <c r="B13" s="18" t="inlineStr">
        <is>
          <t>Vietnamese Coffee</t>
        </is>
      </c>
      <c r="C13" s="17" t="inlineStr">
        <is>
          <t>Small</t>
        </is>
      </c>
      <c r="D13" s="17" t="n">
        <v>12</v>
      </c>
      <c r="E13" s="19" t="n">
        <v>129</v>
      </c>
      <c r="F13" s="20">
        <f>IFERROR(SUMIFS('5 - Recipes'!$G$5:$G$80,'5 - Recipes'!$A$5:$A$80,$B13,'5 - Recipes'!$B$5:$B$80,$C13),0)</f>
        <v/>
      </c>
      <c r="G13" s="20">
        <f>IF($E13="","",$E13-$F13)</f>
        <v/>
      </c>
      <c r="H13" s="21">
        <f>IF(OR($E13="",$E13=0),"",$G13/$E13)</f>
        <v/>
      </c>
      <c r="I13" s="17" t="inlineStr">
        <is>
          <t>Yes</t>
        </is>
      </c>
      <c r="J13" s="18" t="inlineStr">
        <is>
          <t>Traditional phin coffee with sweetened condensed milk. Strong, bold and comforting.</t>
        </is>
      </c>
      <c r="K13" s="22" t="n"/>
    </row>
    <row r="14" ht="22" customHeight="1">
      <c r="A14" s="23" t="inlineStr">
        <is>
          <t>Specialty Coffee</t>
        </is>
      </c>
      <c r="B14" s="24" t="inlineStr">
        <is>
          <t>Vietnamese Coffee</t>
        </is>
      </c>
      <c r="C14" s="23" t="inlineStr">
        <is>
          <t>Grande</t>
        </is>
      </c>
      <c r="D14" s="23" t="n">
        <v>16</v>
      </c>
      <c r="E14" s="25" t="n"/>
      <c r="F14" s="20">
        <f>IFERROR(SUMIFS('5 - Recipes'!$G$5:$G$80,'5 - Recipes'!$A$5:$A$80,$B14,'5 - Recipes'!$B$5:$B$80,$C14),0)</f>
        <v/>
      </c>
      <c r="G14" s="20">
        <f>IF($E14="","",$E14-$F14)</f>
        <v/>
      </c>
      <c r="H14" s="21">
        <f>IF(OR($E14="",$E14=0),"",$G14/$E14)</f>
        <v/>
      </c>
      <c r="I14" s="26" t="n"/>
      <c r="J14" s="22" t="n"/>
      <c r="K14" s="22" t="n"/>
    </row>
    <row r="15" ht="30" customHeight="1">
      <c r="A15" s="17" t="inlineStr">
        <is>
          <t>Specialty Coffee</t>
        </is>
      </c>
      <c r="B15" s="18" t="inlineStr">
        <is>
          <t>Vietnamese Sea Salt Cream</t>
        </is>
      </c>
      <c r="C15" s="17" t="inlineStr">
        <is>
          <t>Grande</t>
        </is>
      </c>
      <c r="D15" s="17" t="n">
        <v>16</v>
      </c>
      <c r="E15" s="19" t="n">
        <v>159</v>
      </c>
      <c r="F15" s="20">
        <f>IFERROR(SUMIFS('5 - Recipes'!$G$5:$G$80,'5 - Recipes'!$A$5:$A$80,$B15,'5 - Recipes'!$B$5:$B$80,$C15),0)</f>
        <v/>
      </c>
      <c r="G15" s="20">
        <f>IF($E15="","",$E15-$F15)</f>
        <v/>
      </c>
      <c r="H15" s="21">
        <f>IF(OR($E15="",$E15=0),"",$G15/$E15)</f>
        <v/>
      </c>
      <c r="I15" s="17" t="inlineStr">
        <is>
          <t>Yes</t>
        </is>
      </c>
      <c r="J15" s="18" t="inlineStr">
        <is>
          <t>Strong phin coffee with smooth sea salt cream. Rich, creamy and perfectly balanced.</t>
        </is>
      </c>
      <c r="K15" s="22" t="n"/>
    </row>
    <row r="16" ht="22" customHeight="1">
      <c r="A16" s="23" t="inlineStr">
        <is>
          <t>Specialty Coffee</t>
        </is>
      </c>
      <c r="B16" s="24" t="inlineStr">
        <is>
          <t>Vietnamese Sea Salt Cream</t>
        </is>
      </c>
      <c r="C16" s="23" t="inlineStr">
        <is>
          <t>Small</t>
        </is>
      </c>
      <c r="D16" s="23" t="n">
        <v>12</v>
      </c>
      <c r="E16" s="25" t="n"/>
      <c r="F16" s="20">
        <f>IFERROR(SUMIFS('5 - Recipes'!$G$5:$G$80,'5 - Recipes'!$A$5:$A$80,$B16,'5 - Recipes'!$B$5:$B$80,$C16),0)</f>
        <v/>
      </c>
      <c r="G16" s="20">
        <f>IF($E16="","",$E16-$F16)</f>
        <v/>
      </c>
      <c r="H16" s="21">
        <f>IF(OR($E16="",$E16=0),"",$G16/$E16)</f>
        <v/>
      </c>
      <c r="I16" s="26" t="n"/>
      <c r="J16" s="22" t="n"/>
      <c r="K16" s="22" t="n"/>
    </row>
    <row r="17" ht="30" customHeight="1">
      <c r="A17" s="17" t="inlineStr">
        <is>
          <t>Specialty Coffee</t>
        </is>
      </c>
      <c r="B17" s="18" t="inlineStr">
        <is>
          <t>Vietnamese Egg Coffee</t>
        </is>
      </c>
      <c r="C17" s="17" t="inlineStr">
        <is>
          <t>Grande</t>
        </is>
      </c>
      <c r="D17" s="17" t="n">
        <v>16</v>
      </c>
      <c r="E17" s="19" t="n">
        <v>159</v>
      </c>
      <c r="F17" s="20">
        <f>IFERROR(SUMIFS('5 - Recipes'!$G$5:$G$80,'5 - Recipes'!$A$5:$A$80,$B17,'5 - Recipes'!$B$5:$B$80,$C17),0)</f>
        <v/>
      </c>
      <c r="G17" s="20">
        <f>IF($E17="","",$E17-$F17)</f>
        <v/>
      </c>
      <c r="H17" s="21">
        <f>IF(OR($E17="",$E17=0),"",$G17/$E17)</f>
        <v/>
      </c>
      <c r="I17" s="17" t="inlineStr">
        <is>
          <t>Yes</t>
        </is>
      </c>
      <c r="J17" s="18" t="inlineStr">
        <is>
          <t>Classic Hanoi-style egg coffee. Creamy, velvety and deliciously indulgent.</t>
        </is>
      </c>
      <c r="K17" s="22" t="n"/>
    </row>
    <row r="18" ht="22" customHeight="1">
      <c r="A18" s="23" t="inlineStr">
        <is>
          <t>Specialty Coffee</t>
        </is>
      </c>
      <c r="B18" s="24" t="inlineStr">
        <is>
          <t>Vietnamese Egg Coffee</t>
        </is>
      </c>
      <c r="C18" s="23" t="inlineStr">
        <is>
          <t>Small</t>
        </is>
      </c>
      <c r="D18" s="23" t="n">
        <v>12</v>
      </c>
      <c r="E18" s="25" t="n"/>
      <c r="F18" s="20">
        <f>IFERROR(SUMIFS('5 - Recipes'!$G$5:$G$80,'5 - Recipes'!$A$5:$A$80,$B18,'5 - Recipes'!$B$5:$B$80,$C18),0)</f>
        <v/>
      </c>
      <c r="G18" s="20">
        <f>IF($E18="","",$E18-$F18)</f>
        <v/>
      </c>
      <c r="H18" s="21">
        <f>IF(OR($E18="",$E18=0),"",$G18/$E18)</f>
        <v/>
      </c>
      <c r="I18" s="26" t="n"/>
      <c r="J18" s="22" t="n"/>
      <c r="K18" s="22" t="n"/>
    </row>
    <row r="20">
      <c r="A20" s="12" t="inlineStr">
        <is>
          <t>Q1  Sizes — which is true?</t>
        </is>
      </c>
    </row>
    <row r="21">
      <c r="A21" s="8" t="inlineStr">
        <is>
          <t>A.  One size per drink, exactly as printed on the card. Leave every yellow price row blank. The app drops the size step.</t>
        </is>
      </c>
    </row>
    <row r="22">
      <c r="A22" s="8" t="inlineStr">
        <is>
          <t>B.  Two sizes on everything. Fill a price in each yellow row.</t>
        </is>
      </c>
    </row>
    <row r="23">
      <c r="A23" s="8" t="inlineStr">
        <is>
          <t>C.  A mix. Fill only the yellow rows you actually sell, leave the rest blank.</t>
        </is>
      </c>
    </row>
    <row r="25">
      <c r="A25" s="5" t="inlineStr">
        <is>
          <t>Your answer (A, B or C):</t>
        </is>
      </c>
      <c r="C25" s="27" t="n"/>
    </row>
    <row r="27">
      <c r="A27" s="28" t="inlineStr">
        <is>
          <t>Q2  Anything missing from the menu? Seasonal drinks, non-coffee, pastries — add them as new rows above.</t>
        </is>
      </c>
    </row>
  </sheetData>
  <mergeCells count="6">
    <mergeCell ref="A22:K22"/>
    <mergeCell ref="A21:K21"/>
    <mergeCell ref="A2:K2"/>
    <mergeCell ref="A1:K1"/>
    <mergeCell ref="A23:K23"/>
    <mergeCell ref="A27:K2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2"/>
  <sheetViews>
    <sheetView showGridLines="0" workbookViewId="0">
      <pane ySplit="4" topLeftCell="A5" activePane="bottomLeft" state="frozen"/>
      <selection pane="bottomLeft" activeCell="A1" sqref="A1"/>
    </sheetView>
  </sheetViews>
  <sheetFormatPr baseColWidth="8" defaultRowHeight="15"/>
  <cols>
    <col width="16" customWidth="1" min="1" max="1"/>
    <col width="26" customWidth="1" min="2" max="2"/>
    <col width="16" customWidth="1" min="3" max="3"/>
    <col width="20" customWidth="1" min="4" max="4"/>
    <col width="24" customWidth="1" min="5" max="5"/>
    <col width="20" customWidth="1" min="6" max="6"/>
    <col width="14" customWidth="1" min="7" max="7"/>
    <col width="34" customWidth="1" min="8" max="8"/>
  </cols>
  <sheetData>
    <row r="1" ht="22" customHeight="1">
      <c r="A1" s="14" t="inlineStr">
        <is>
          <t>Customisations</t>
        </is>
      </c>
    </row>
    <row r="2" ht="30" customHeight="1">
      <c r="A2" s="15" t="inlineStr">
        <is>
          <t>Every choice a customer can make, and what it adds to the price. "Add Sea Salt Cream +20" is the only one printed on your card, so it is the only one filled in. For all the rest: put 0 if it is free, a number if you charge for it, or delete the row if you do not offer it at all. Add rows for anything I have missed.</t>
        </is>
      </c>
    </row>
    <row r="4" ht="30" customHeight="1">
      <c r="A4" s="16" t="inlineStr">
        <is>
          <t>Group</t>
        </is>
      </c>
      <c r="B4" s="16" t="inlineStr">
        <is>
          <t>Choice</t>
        </is>
      </c>
      <c r="C4" s="16" t="inlineStr">
        <is>
          <t>Adds to price ₱</t>
        </is>
      </c>
      <c r="D4" s="16" t="inlineStr">
        <is>
          <t>Pick one, or many?</t>
        </is>
      </c>
      <c r="E4" s="16" t="inlineStr">
        <is>
          <t>Must the customer choose?</t>
        </is>
      </c>
      <c r="F4" s="16" t="inlineStr">
        <is>
          <t>Show it in this order</t>
        </is>
      </c>
      <c r="G4" s="16" t="inlineStr">
        <is>
          <t>Still offered?</t>
        </is>
      </c>
      <c r="H4" s="16" t="inlineStr">
        <is>
          <t>Your notes</t>
        </is>
      </c>
    </row>
    <row r="5">
      <c r="A5" s="23" t="inlineStr">
        <is>
          <t>Milk</t>
        </is>
      </c>
      <c r="B5" s="23" t="inlineStr">
        <is>
          <t>Full Cream</t>
        </is>
      </c>
      <c r="C5" s="25" t="n"/>
      <c r="D5" s="23" t="inlineStr">
        <is>
          <t>Pick one</t>
        </is>
      </c>
      <c r="E5" s="23" t="inlineStr">
        <is>
          <t>Yes</t>
        </is>
      </c>
      <c r="F5" s="23" t="n">
        <v>1</v>
      </c>
      <c r="G5" s="23" t="inlineStr">
        <is>
          <t>Yes</t>
        </is>
      </c>
      <c r="H5" s="22" t="n"/>
    </row>
    <row r="6">
      <c r="A6" s="23" t="inlineStr">
        <is>
          <t>Milk</t>
        </is>
      </c>
      <c r="B6" s="23" t="inlineStr">
        <is>
          <t>Low Fat</t>
        </is>
      </c>
      <c r="C6" s="25" t="n"/>
      <c r="D6" s="23" t="inlineStr">
        <is>
          <t>Pick one</t>
        </is>
      </c>
      <c r="E6" s="23" t="inlineStr">
        <is>
          <t>Yes</t>
        </is>
      </c>
      <c r="F6" s="23" t="n">
        <v>2</v>
      </c>
      <c r="G6" s="23" t="inlineStr">
        <is>
          <t>Yes</t>
        </is>
      </c>
      <c r="H6" s="22" t="n"/>
    </row>
    <row r="7">
      <c r="A7" s="23" t="inlineStr">
        <is>
          <t>Milk</t>
        </is>
      </c>
      <c r="B7" s="23" t="inlineStr">
        <is>
          <t>Skimmed</t>
        </is>
      </c>
      <c r="C7" s="25" t="n"/>
      <c r="D7" s="23" t="inlineStr">
        <is>
          <t>Pick one</t>
        </is>
      </c>
      <c r="E7" s="23" t="inlineStr">
        <is>
          <t>Yes</t>
        </is>
      </c>
      <c r="F7" s="23" t="n">
        <v>3</v>
      </c>
      <c r="G7" s="23" t="inlineStr">
        <is>
          <t>Yes</t>
        </is>
      </c>
      <c r="H7" s="22" t="n"/>
    </row>
    <row r="8">
      <c r="A8" s="23" t="inlineStr">
        <is>
          <t>Milk</t>
        </is>
      </c>
      <c r="B8" s="23" t="inlineStr">
        <is>
          <t>Oat</t>
        </is>
      </c>
      <c r="C8" s="25" t="n"/>
      <c r="D8" s="23" t="inlineStr">
        <is>
          <t>Pick one</t>
        </is>
      </c>
      <c r="E8" s="23" t="inlineStr">
        <is>
          <t>Yes</t>
        </is>
      </c>
      <c r="F8" s="23" t="n">
        <v>4</v>
      </c>
      <c r="G8" s="23" t="inlineStr">
        <is>
          <t>Yes</t>
        </is>
      </c>
      <c r="H8" s="22" t="n"/>
    </row>
    <row r="9">
      <c r="A9" s="23" t="inlineStr">
        <is>
          <t>Milk</t>
        </is>
      </c>
      <c r="B9" s="23" t="inlineStr">
        <is>
          <t>Coconut</t>
        </is>
      </c>
      <c r="C9" s="25" t="n"/>
      <c r="D9" s="23" t="inlineStr">
        <is>
          <t>Pick one</t>
        </is>
      </c>
      <c r="E9" s="23" t="inlineStr">
        <is>
          <t>Yes</t>
        </is>
      </c>
      <c r="F9" s="23" t="n">
        <v>5</v>
      </c>
      <c r="G9" s="23" t="inlineStr">
        <is>
          <t>Yes</t>
        </is>
      </c>
      <c r="H9" s="22" t="n"/>
    </row>
    <row r="11">
      <c r="A11" s="23" t="inlineStr">
        <is>
          <t>Ice</t>
        </is>
      </c>
      <c r="B11" s="23" t="inlineStr">
        <is>
          <t>Regular</t>
        </is>
      </c>
      <c r="C11" s="25" t="n"/>
      <c r="D11" s="23" t="inlineStr">
        <is>
          <t>Pick one</t>
        </is>
      </c>
      <c r="E11" s="23" t="inlineStr">
        <is>
          <t>Yes</t>
        </is>
      </c>
      <c r="F11" s="23" t="n">
        <v>1</v>
      </c>
      <c r="G11" s="23" t="inlineStr">
        <is>
          <t>Yes</t>
        </is>
      </c>
      <c r="H11" s="22" t="n"/>
    </row>
    <row r="12">
      <c r="A12" s="23" t="inlineStr">
        <is>
          <t>Ice</t>
        </is>
      </c>
      <c r="B12" s="23" t="inlineStr">
        <is>
          <t>Less Ice</t>
        </is>
      </c>
      <c r="C12" s="25" t="n"/>
      <c r="D12" s="23" t="inlineStr">
        <is>
          <t>Pick one</t>
        </is>
      </c>
      <c r="E12" s="23" t="inlineStr">
        <is>
          <t>Yes</t>
        </is>
      </c>
      <c r="F12" s="23" t="n">
        <v>2</v>
      </c>
      <c r="G12" s="23" t="inlineStr">
        <is>
          <t>Yes</t>
        </is>
      </c>
      <c r="H12" s="22" t="n"/>
    </row>
    <row r="13">
      <c r="A13" s="23" t="inlineStr">
        <is>
          <t>Ice</t>
        </is>
      </c>
      <c r="B13" s="23" t="inlineStr">
        <is>
          <t>Extra Ice</t>
        </is>
      </c>
      <c r="C13" s="25" t="n"/>
      <c r="D13" s="23" t="inlineStr">
        <is>
          <t>Pick one</t>
        </is>
      </c>
      <c r="E13" s="23" t="inlineStr">
        <is>
          <t>Yes</t>
        </is>
      </c>
      <c r="F13" s="23" t="n">
        <v>3</v>
      </c>
      <c r="G13" s="23" t="inlineStr">
        <is>
          <t>Yes</t>
        </is>
      </c>
      <c r="H13" s="22" t="n"/>
    </row>
    <row r="14">
      <c r="A14" s="23" t="inlineStr">
        <is>
          <t>Ice</t>
        </is>
      </c>
      <c r="B14" s="23" t="inlineStr">
        <is>
          <t>No Ice</t>
        </is>
      </c>
      <c r="C14" s="25" t="n"/>
      <c r="D14" s="23" t="inlineStr">
        <is>
          <t>Pick one</t>
        </is>
      </c>
      <c r="E14" s="23" t="inlineStr">
        <is>
          <t>Yes</t>
        </is>
      </c>
      <c r="F14" s="23" t="n">
        <v>4</v>
      </c>
      <c r="G14" s="23" t="inlineStr">
        <is>
          <t>Yes</t>
        </is>
      </c>
      <c r="H14" s="22" t="n"/>
    </row>
    <row r="16">
      <c r="A16" s="23" t="inlineStr">
        <is>
          <t>Sweetness</t>
        </is>
      </c>
      <c r="B16" s="23" t="inlineStr">
        <is>
          <t>Regular</t>
        </is>
      </c>
      <c r="C16" s="25" t="n"/>
      <c r="D16" s="23" t="inlineStr">
        <is>
          <t>Pick one</t>
        </is>
      </c>
      <c r="E16" s="23" t="inlineStr">
        <is>
          <t>Yes</t>
        </is>
      </c>
      <c r="F16" s="23" t="n">
        <v>1</v>
      </c>
      <c r="G16" s="23" t="inlineStr">
        <is>
          <t>Yes</t>
        </is>
      </c>
      <c r="H16" s="22" t="n"/>
    </row>
    <row r="17">
      <c r="A17" s="23" t="inlineStr">
        <is>
          <t>Sweetness</t>
        </is>
      </c>
      <c r="B17" s="23" t="inlineStr">
        <is>
          <t>Less Sweet</t>
        </is>
      </c>
      <c r="C17" s="25" t="n"/>
      <c r="D17" s="23" t="inlineStr">
        <is>
          <t>Pick one</t>
        </is>
      </c>
      <c r="E17" s="23" t="inlineStr">
        <is>
          <t>Yes</t>
        </is>
      </c>
      <c r="F17" s="23" t="n">
        <v>2</v>
      </c>
      <c r="G17" s="23" t="inlineStr">
        <is>
          <t>Yes</t>
        </is>
      </c>
      <c r="H17" s="22" t="n"/>
    </row>
    <row r="18">
      <c r="A18" s="23" t="inlineStr">
        <is>
          <t>Sweetness</t>
        </is>
      </c>
      <c r="B18" s="23" t="inlineStr">
        <is>
          <t>No Sugar</t>
        </is>
      </c>
      <c r="C18" s="25" t="n"/>
      <c r="D18" s="23" t="inlineStr">
        <is>
          <t>Pick one</t>
        </is>
      </c>
      <c r="E18" s="23" t="inlineStr">
        <is>
          <t>Yes</t>
        </is>
      </c>
      <c r="F18" s="23" t="n">
        <v>3</v>
      </c>
      <c r="G18" s="23" t="inlineStr">
        <is>
          <t>Yes</t>
        </is>
      </c>
      <c r="H18" s="22" t="n"/>
    </row>
    <row r="19">
      <c r="A19" s="23" t="inlineStr">
        <is>
          <t>Sweetness</t>
        </is>
      </c>
      <c r="B19" s="23" t="inlineStr">
        <is>
          <t>Extra Sweet</t>
        </is>
      </c>
      <c r="C19" s="25" t="n"/>
      <c r="D19" s="23" t="inlineStr">
        <is>
          <t>Pick one</t>
        </is>
      </c>
      <c r="E19" s="23" t="inlineStr">
        <is>
          <t>Yes</t>
        </is>
      </c>
      <c r="F19" s="23" t="n">
        <v>4</v>
      </c>
      <c r="G19" s="23" t="inlineStr">
        <is>
          <t>Yes</t>
        </is>
      </c>
      <c r="H19" s="22" t="n"/>
    </row>
    <row r="21">
      <c r="A21" s="23" t="inlineStr">
        <is>
          <t>Syrup</t>
        </is>
      </c>
      <c r="B21" s="23" t="inlineStr">
        <is>
          <t>None</t>
        </is>
      </c>
      <c r="C21" s="25" t="n"/>
      <c r="D21" s="23" t="inlineStr">
        <is>
          <t>Pick one</t>
        </is>
      </c>
      <c r="E21" s="23" t="inlineStr">
        <is>
          <t>No</t>
        </is>
      </c>
      <c r="F21" s="23" t="n">
        <v>1</v>
      </c>
      <c r="G21" s="23" t="inlineStr">
        <is>
          <t>Yes</t>
        </is>
      </c>
      <c r="H21" s="22" t="n"/>
    </row>
    <row r="22">
      <c r="A22" s="23" t="inlineStr">
        <is>
          <t>Syrup</t>
        </is>
      </c>
      <c r="B22" s="23" t="inlineStr">
        <is>
          <t>Vanilla</t>
        </is>
      </c>
      <c r="C22" s="25" t="n"/>
      <c r="D22" s="23" t="inlineStr">
        <is>
          <t>Pick one</t>
        </is>
      </c>
      <c r="E22" s="23" t="inlineStr">
        <is>
          <t>No</t>
        </is>
      </c>
      <c r="F22" s="23" t="n">
        <v>2</v>
      </c>
      <c r="G22" s="23" t="inlineStr">
        <is>
          <t>Yes</t>
        </is>
      </c>
      <c r="H22" s="22" t="n"/>
    </row>
    <row r="23">
      <c r="A23" s="23" t="inlineStr">
        <is>
          <t>Syrup</t>
        </is>
      </c>
      <c r="B23" s="23" t="inlineStr">
        <is>
          <t>Caramel</t>
        </is>
      </c>
      <c r="C23" s="25" t="n"/>
      <c r="D23" s="23" t="inlineStr">
        <is>
          <t>Pick one</t>
        </is>
      </c>
      <c r="E23" s="23" t="inlineStr">
        <is>
          <t>No</t>
        </is>
      </c>
      <c r="F23" s="23" t="n">
        <v>3</v>
      </c>
      <c r="G23" s="23" t="inlineStr">
        <is>
          <t>Yes</t>
        </is>
      </c>
      <c r="H23" s="22" t="n"/>
    </row>
    <row r="24">
      <c r="A24" s="23" t="inlineStr">
        <is>
          <t>Syrup</t>
        </is>
      </c>
      <c r="B24" s="23" t="inlineStr">
        <is>
          <t>Hazelnut</t>
        </is>
      </c>
      <c r="C24" s="25" t="n"/>
      <c r="D24" s="23" t="inlineStr">
        <is>
          <t>Pick one</t>
        </is>
      </c>
      <c r="E24" s="23" t="inlineStr">
        <is>
          <t>No</t>
        </is>
      </c>
      <c r="F24" s="23" t="n">
        <v>4</v>
      </c>
      <c r="G24" s="23" t="inlineStr">
        <is>
          <t>Yes</t>
        </is>
      </c>
      <c r="H24" s="22" t="n"/>
    </row>
    <row r="26">
      <c r="A26" s="23" t="inlineStr">
        <is>
          <t>Sauce</t>
        </is>
      </c>
      <c r="B26" s="23" t="inlineStr">
        <is>
          <t>None</t>
        </is>
      </c>
      <c r="C26" s="25" t="n"/>
      <c r="D26" s="23" t="inlineStr">
        <is>
          <t>Pick one</t>
        </is>
      </c>
      <c r="E26" s="23" t="inlineStr">
        <is>
          <t>No</t>
        </is>
      </c>
      <c r="F26" s="23" t="n">
        <v>1</v>
      </c>
      <c r="G26" s="23" t="inlineStr">
        <is>
          <t>Yes</t>
        </is>
      </c>
      <c r="H26" s="22" t="n"/>
    </row>
    <row r="27">
      <c r="A27" s="23" t="inlineStr">
        <is>
          <t>Sauce</t>
        </is>
      </c>
      <c r="B27" s="23" t="inlineStr">
        <is>
          <t>Chocolate</t>
        </is>
      </c>
      <c r="C27" s="25" t="n"/>
      <c r="D27" s="23" t="inlineStr">
        <is>
          <t>Pick one</t>
        </is>
      </c>
      <c r="E27" s="23" t="inlineStr">
        <is>
          <t>No</t>
        </is>
      </c>
      <c r="F27" s="23" t="n">
        <v>2</v>
      </c>
      <c r="G27" s="23" t="inlineStr">
        <is>
          <t>Yes</t>
        </is>
      </c>
      <c r="H27" s="22" t="n"/>
    </row>
    <row r="28">
      <c r="A28" s="23" t="inlineStr">
        <is>
          <t>Sauce</t>
        </is>
      </c>
      <c r="B28" s="23" t="inlineStr">
        <is>
          <t>White Mocha</t>
        </is>
      </c>
      <c r="C28" s="25" t="n"/>
      <c r="D28" s="23" t="inlineStr">
        <is>
          <t>Pick one</t>
        </is>
      </c>
      <c r="E28" s="23" t="inlineStr">
        <is>
          <t>No</t>
        </is>
      </c>
      <c r="F28" s="23" t="n">
        <v>3</v>
      </c>
      <c r="G28" s="23" t="inlineStr">
        <is>
          <t>Yes</t>
        </is>
      </c>
      <c r="H28" s="22" t="n"/>
    </row>
    <row r="29">
      <c r="A29" s="23" t="inlineStr">
        <is>
          <t>Sauce</t>
        </is>
      </c>
      <c r="B29" s="23" t="inlineStr">
        <is>
          <t>Caramel</t>
        </is>
      </c>
      <c r="C29" s="25" t="n"/>
      <c r="D29" s="23" t="inlineStr">
        <is>
          <t>Pick one</t>
        </is>
      </c>
      <c r="E29" s="23" t="inlineStr">
        <is>
          <t>No</t>
        </is>
      </c>
      <c r="F29" s="23" t="n">
        <v>4</v>
      </c>
      <c r="G29" s="23" t="inlineStr">
        <is>
          <t>Yes</t>
        </is>
      </c>
      <c r="H29" s="22" t="n"/>
    </row>
    <row r="31">
      <c r="A31" s="17" t="inlineStr">
        <is>
          <t>Extras</t>
        </is>
      </c>
      <c r="B31" s="17" t="inlineStr">
        <is>
          <t>Sea Salt Cream</t>
        </is>
      </c>
      <c r="C31" s="19" t="n">
        <v>20</v>
      </c>
      <c r="D31" s="17" t="inlineStr">
        <is>
          <t>Pick any number</t>
        </is>
      </c>
      <c r="E31" s="17" t="inlineStr">
        <is>
          <t>No</t>
        </is>
      </c>
      <c r="F31" s="17" t="n">
        <v>1</v>
      </c>
      <c r="G31" s="17" t="inlineStr">
        <is>
          <t>Yes</t>
        </is>
      </c>
      <c r="H31" s="18" t="inlineStr">
        <is>
          <t>From your menu card: "Add Sea Salt Cream  +20"</t>
        </is>
      </c>
    </row>
    <row r="32">
      <c r="A32" s="23" t="inlineStr">
        <is>
          <t>Extras</t>
        </is>
      </c>
      <c r="B32" s="23" t="inlineStr">
        <is>
          <t>Extra Shot</t>
        </is>
      </c>
      <c r="C32" s="25" t="n"/>
      <c r="D32" s="23" t="inlineStr">
        <is>
          <t>Pick any number</t>
        </is>
      </c>
      <c r="E32" s="23" t="inlineStr">
        <is>
          <t>No</t>
        </is>
      </c>
      <c r="F32" s="23" t="n">
        <v>2</v>
      </c>
      <c r="G32" s="23" t="inlineStr">
        <is>
          <t>Yes</t>
        </is>
      </c>
      <c r="H32" s="22" t="n"/>
    </row>
    <row r="33">
      <c r="A33" s="23" t="inlineStr">
        <is>
          <t>Extras</t>
        </is>
      </c>
      <c r="B33" s="23" t="inlineStr">
        <is>
          <t>Extra Syrup</t>
        </is>
      </c>
      <c r="C33" s="25" t="n"/>
      <c r="D33" s="23" t="inlineStr">
        <is>
          <t>Pick any number</t>
        </is>
      </c>
      <c r="E33" s="23" t="inlineStr">
        <is>
          <t>No</t>
        </is>
      </c>
      <c r="F33" s="23" t="n">
        <v>3</v>
      </c>
      <c r="G33" s="23" t="inlineStr">
        <is>
          <t>Yes</t>
        </is>
      </c>
      <c r="H33" s="22" t="n"/>
    </row>
    <row r="34">
      <c r="A34" s="23" t="inlineStr">
        <is>
          <t>Extras</t>
        </is>
      </c>
      <c r="B34" s="23" t="inlineStr">
        <is>
          <t>Extra Sauce</t>
        </is>
      </c>
      <c r="C34" s="25" t="n"/>
      <c r="D34" s="23" t="inlineStr">
        <is>
          <t>Pick any number</t>
        </is>
      </c>
      <c r="E34" s="23" t="inlineStr">
        <is>
          <t>No</t>
        </is>
      </c>
      <c r="F34" s="23" t="n">
        <v>4</v>
      </c>
      <c r="G34" s="23" t="inlineStr">
        <is>
          <t>Yes</t>
        </is>
      </c>
      <c r="H34" s="22" t="n"/>
    </row>
    <row r="35">
      <c r="A35" s="23" t="inlineStr">
        <is>
          <t>Extras</t>
        </is>
      </c>
      <c r="B35" s="23" t="inlineStr">
        <is>
          <t>Cold Foam</t>
        </is>
      </c>
      <c r="C35" s="25" t="n"/>
      <c r="D35" s="23" t="inlineStr">
        <is>
          <t>Pick any number</t>
        </is>
      </c>
      <c r="E35" s="23" t="inlineStr">
        <is>
          <t>No</t>
        </is>
      </c>
      <c r="F35" s="23" t="n">
        <v>5</v>
      </c>
      <c r="G35" s="23" t="inlineStr">
        <is>
          <t>Yes</t>
        </is>
      </c>
      <c r="H35" s="22" t="n"/>
    </row>
    <row r="38">
      <c r="A38" s="29" t="inlineStr">
        <is>
          <t>Q3  Is "Add Sea Salt Cream +20" available on all four Classics, or only on Matcha Latte where it is printed?</t>
        </is>
      </c>
    </row>
    <row r="39">
      <c r="A39" s="27" t="n"/>
      <c r="B39" s="30" t="n"/>
      <c r="C39" s="30" t="n"/>
      <c r="D39" s="30" t="n"/>
      <c r="E39" s="30" t="n"/>
      <c r="F39" s="30" t="n"/>
      <c r="G39" s="30" t="n"/>
      <c r="H39" s="31" t="n"/>
    </row>
    <row r="41">
      <c r="A41" s="29" t="inlineStr">
        <is>
          <t>Q4  Are these really the milks you stock? Cross out any you do not carry, add any I have missed.</t>
        </is>
      </c>
    </row>
    <row r="42">
      <c r="A42" s="27" t="n"/>
      <c r="B42" s="30" t="n"/>
      <c r="C42" s="30" t="n"/>
      <c r="D42" s="30" t="n"/>
      <c r="E42" s="30" t="n"/>
      <c r="F42" s="30" t="n"/>
      <c r="G42" s="30" t="n"/>
      <c r="H42" s="31" t="n"/>
    </row>
  </sheetData>
  <mergeCells count="6">
    <mergeCell ref="A39:H39"/>
    <mergeCell ref="A38:H38"/>
    <mergeCell ref="A2:H2"/>
    <mergeCell ref="A42:H42"/>
    <mergeCell ref="A41:H41"/>
    <mergeCell ref="A1:H1"/>
  </mergeCells>
  <dataValidations count="2">
    <dataValidation sqref="D5 D6 D7 D8 D9 D11 D12 D13 D14 D16 D17 D18 D19 D21 D22 D23 D24 D26 D27 D28 D29 D31 D32 D33 D34 D35" showDropDown="0" showInputMessage="0" showErrorMessage="0" allowBlank="1" type="list">
      <formula1>"Pick one,Pick any number"</formula1>
    </dataValidation>
    <dataValidation sqref="E5 E6 E7 E8 E9 E11 E12 E13 E14 E16 E17 E18 E19 E21 E22 E23 E24 E26 E27 E28 E29 E31 E32 E33 E34 E35 G5 G6 G7 G8 G9 G11 G12 G13 G14 G16 G17 G18 G19 G21 G22 G23 G24 G26 G27 G28 G29 G31 G32 G33 G34 G35" showDropDown="0" showInputMessage="0" showErrorMessage="0" allowBlank="1"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
  <sheetViews>
    <sheetView showGridLines="0" workbookViewId="0">
      <pane ySplit="4" topLeftCell="A5" activePane="bottomLeft" state="frozen"/>
      <selection pane="bottomLeft" activeCell="A1" sqref="A1"/>
    </sheetView>
  </sheetViews>
  <sheetFormatPr baseColWidth="8" defaultRowHeight="15"/>
  <cols>
    <col width="32" customWidth="1" min="1" max="1"/>
    <col width="13" customWidth="1" min="2" max="2"/>
    <col width="12" customWidth="1" min="3" max="3"/>
    <col width="17" customWidth="1" min="4" max="4"/>
    <col width="14" customWidth="1" min="5" max="5"/>
    <col width="14" customWidth="1" min="6" max="6"/>
    <col width="14" customWidth="1" min="7" max="7"/>
    <col width="18" customWidth="1" min="8" max="8"/>
    <col width="16" customWidth="1" min="9" max="9"/>
    <col width="20" customWidth="1" min="10" max="10"/>
  </cols>
  <sheetData>
    <row r="1" ht="22" customHeight="1">
      <c r="A1" s="14" t="inlineStr">
        <is>
          <t>What each drink offers</t>
        </is>
      </c>
    </row>
    <row r="2" ht="30" customHeight="1">
      <c r="A2" s="15" t="inlineStr">
        <is>
          <t>Not every drink should show every choice — Black is served black, so it probably needs no milk options at all. Put Yes or No in each column, and in the last columns write what should already be selected when the drink is tapped. Defaults are what make an order fast: if the usual setup is right, she taps the drink and adds it.</t>
        </is>
      </c>
    </row>
    <row r="4" ht="30" customHeight="1">
      <c r="A4" s="16" t="inlineStr">
        <is>
          <t>Drink</t>
        </is>
      </c>
      <c r="B4" s="16" t="inlineStr">
        <is>
          <t>Show milk?</t>
        </is>
      </c>
      <c r="C4" s="16" t="inlineStr">
        <is>
          <t>Show ice?</t>
        </is>
      </c>
      <c r="D4" s="16" t="inlineStr">
        <is>
          <t>Show sweetness?</t>
        </is>
      </c>
      <c r="E4" s="16" t="inlineStr">
        <is>
          <t>Show syrup?</t>
        </is>
      </c>
      <c r="F4" s="16" t="inlineStr">
        <is>
          <t>Show sauce?</t>
        </is>
      </c>
      <c r="G4" s="16" t="inlineStr">
        <is>
          <t>Show extras?</t>
        </is>
      </c>
      <c r="H4" s="16" t="inlineStr">
        <is>
          <t>Default milk</t>
        </is>
      </c>
      <c r="I4" s="16" t="inlineStr">
        <is>
          <t>Default ice</t>
        </is>
      </c>
      <c r="J4" s="16" t="inlineStr">
        <is>
          <t>Default sweetness</t>
        </is>
      </c>
    </row>
    <row r="5" ht="26" customHeight="1">
      <c r="A5" s="18" t="inlineStr">
        <is>
          <t>Black</t>
        </is>
      </c>
      <c r="B5" s="27" t="n"/>
      <c r="C5" s="27" t="n"/>
      <c r="D5" s="27" t="n"/>
      <c r="E5" s="27" t="n"/>
      <c r="F5" s="27" t="n"/>
      <c r="G5" s="27" t="n"/>
      <c r="H5" s="27" t="n"/>
      <c r="I5" s="27" t="n"/>
      <c r="J5" s="27" t="n"/>
    </row>
    <row r="6" ht="26" customHeight="1">
      <c r="A6" s="18" t="inlineStr">
        <is>
          <t>Spanish Latte</t>
        </is>
      </c>
      <c r="B6" s="27" t="n"/>
      <c r="C6" s="27" t="n"/>
      <c r="D6" s="27" t="n"/>
      <c r="E6" s="27" t="n"/>
      <c r="F6" s="27" t="n"/>
      <c r="G6" s="27" t="n"/>
      <c r="H6" s="27" t="n"/>
      <c r="I6" s="27" t="n"/>
      <c r="J6" s="27" t="n"/>
    </row>
    <row r="7" ht="26" customHeight="1">
      <c r="A7" s="18" t="inlineStr">
        <is>
          <t>Caramel Macchiato with Cold Foam</t>
        </is>
      </c>
      <c r="B7" s="27" t="n"/>
      <c r="C7" s="27" t="n"/>
      <c r="D7" s="27" t="n"/>
      <c r="E7" s="27" t="n"/>
      <c r="F7" s="27" t="n"/>
      <c r="G7" s="27" t="n"/>
      <c r="H7" s="27" t="n"/>
      <c r="I7" s="27" t="n"/>
      <c r="J7" s="27" t="n"/>
    </row>
    <row r="8" ht="26" customHeight="1">
      <c r="A8" s="18" t="inlineStr">
        <is>
          <t>Matcha Latte</t>
        </is>
      </c>
      <c r="B8" s="27" t="n"/>
      <c r="C8" s="27" t="n"/>
      <c r="D8" s="27" t="n"/>
      <c r="E8" s="27" t="n"/>
      <c r="F8" s="27" t="n"/>
      <c r="G8" s="27" t="n"/>
      <c r="H8" s="27" t="n"/>
      <c r="I8" s="27" t="n"/>
      <c r="J8" s="27" t="n"/>
    </row>
    <row r="9" ht="26" customHeight="1">
      <c r="A9" s="18" t="inlineStr">
        <is>
          <t>Vietnamese Coffee</t>
        </is>
      </c>
      <c r="B9" s="27" t="n"/>
      <c r="C9" s="27" t="n"/>
      <c r="D9" s="27" t="n"/>
      <c r="E9" s="27" t="n"/>
      <c r="F9" s="27" t="n"/>
      <c r="G9" s="27" t="n"/>
      <c r="H9" s="27" t="n"/>
      <c r="I9" s="27" t="n"/>
      <c r="J9" s="27" t="n"/>
    </row>
    <row r="10" ht="26" customHeight="1">
      <c r="A10" s="18" t="inlineStr">
        <is>
          <t>Vietnamese Sea Salt Cream</t>
        </is>
      </c>
      <c r="B10" s="27" t="n"/>
      <c r="C10" s="27" t="n"/>
      <c r="D10" s="27" t="n"/>
      <c r="E10" s="27" t="n"/>
      <c r="F10" s="27" t="n"/>
      <c r="G10" s="27" t="n"/>
      <c r="H10" s="27" t="n"/>
      <c r="I10" s="27" t="n"/>
      <c r="J10" s="27" t="n"/>
    </row>
    <row r="11" ht="26" customHeight="1">
      <c r="A11" s="18" t="inlineStr">
        <is>
          <t>Vietnamese Egg Coffee</t>
        </is>
      </c>
      <c r="B11" s="27" t="n"/>
      <c r="C11" s="27" t="n"/>
      <c r="D11" s="27" t="n"/>
      <c r="E11" s="27" t="n"/>
      <c r="F11" s="27" t="n"/>
      <c r="G11" s="27" t="n"/>
      <c r="H11" s="27" t="n"/>
      <c r="I11" s="27" t="n"/>
      <c r="J11" s="27" t="n"/>
    </row>
    <row r="13" ht="26" customHeight="1">
      <c r="A13" s="32" t="inlineStr">
        <is>
          <t>Black (example — delete or type over)</t>
        </is>
      </c>
      <c r="B13" s="32" t="inlineStr">
        <is>
          <t>No</t>
        </is>
      </c>
      <c r="C13" s="32" t="inlineStr">
        <is>
          <t>Yes</t>
        </is>
      </c>
      <c r="D13" s="32" t="inlineStr">
        <is>
          <t>No</t>
        </is>
      </c>
      <c r="E13" s="32" t="inlineStr">
        <is>
          <t>No</t>
        </is>
      </c>
      <c r="F13" s="32" t="inlineStr">
        <is>
          <t>No</t>
        </is>
      </c>
      <c r="G13" s="32" t="inlineStr">
        <is>
          <t>No</t>
        </is>
      </c>
      <c r="H13" s="32" t="inlineStr">
        <is>
          <t>—</t>
        </is>
      </c>
      <c r="I13" s="32" t="inlineStr">
        <is>
          <t>Regular</t>
        </is>
      </c>
      <c r="J13" s="32" t="inlineStr">
        <is>
          <t>—</t>
        </is>
      </c>
    </row>
    <row r="15">
      <c r="A15" s="29" t="inlineStr">
        <is>
          <t>Q5  Any drink where a choice should be offered but priced differently from sheet 2? Note it here.</t>
        </is>
      </c>
    </row>
    <row r="16">
      <c r="A16" s="27" t="n"/>
      <c r="B16" s="30" t="n"/>
      <c r="C16" s="30" t="n"/>
      <c r="D16" s="30" t="n"/>
      <c r="E16" s="30" t="n"/>
      <c r="F16" s="30" t="n"/>
      <c r="G16" s="30" t="n"/>
      <c r="H16" s="30" t="n"/>
      <c r="I16" s="30" t="n"/>
      <c r="J16" s="31" t="n"/>
    </row>
  </sheetData>
  <mergeCells count="4">
    <mergeCell ref="A15:J15"/>
    <mergeCell ref="A16:J16"/>
    <mergeCell ref="A1:J1"/>
    <mergeCell ref="A2:J2"/>
  </mergeCells>
  <dataValidations count="1">
    <dataValidation sqref="B5 B6 B7 B8 B9 B10 B11 C5 C6 C7 C8 C9 C10 C11 D5 D6 D7 D8 D9 D10 D11 E5 E6 E7 E8 E9 E10 E11 F5 F6 F7 F8 F9 F10 F11 G5 G6 G7 G8 G9 G10 G11" showDropDown="0" showInputMessage="0" showErrorMessage="0" allowBlank="1"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9"/>
  <sheetViews>
    <sheetView showGridLines="0" workbookViewId="0">
      <pane ySplit="4" topLeftCell="A5" activePane="bottomLeft" state="frozen"/>
      <selection pane="bottomLeft" activeCell="A1" sqref="A1"/>
    </sheetView>
  </sheetViews>
  <sheetFormatPr baseColWidth="8" defaultRowHeight="15"/>
  <cols>
    <col width="26" customWidth="1" min="1" max="1"/>
    <col width="15" customWidth="1" min="2" max="2"/>
    <col width="14" customWidth="1" min="3" max="3"/>
    <col width="17" customWidth="1" min="4" max="4"/>
    <col width="25" customWidth="1" min="5" max="5"/>
    <col width="18" customWidth="1" min="6" max="6"/>
    <col width="20" customWidth="1" min="7" max="7"/>
    <col width="15" customWidth="1" min="8" max="8"/>
    <col width="18" customWidth="1" min="9" max="9"/>
    <col width="17" customWidth="1" min="10" max="10"/>
    <col width="20" customWidth="1" min="11" max="11"/>
    <col width="20" customWidth="1" min="12" max="12"/>
    <col width="28" customWidth="1" min="13" max="13"/>
  </cols>
  <sheetData>
    <row r="1" ht="22" customHeight="1">
      <c r="A1" s="14" t="inlineStr">
        <is>
          <t>Everything you buy</t>
        </is>
      </c>
    </row>
    <row r="2" ht="30" customHeight="1">
      <c r="A2" s="15" t="inlineStr">
        <is>
          <t>Coffee, milk, syrups, matcha, condensed milk, eggs, salt, sugar — and packaging too: cups, lids, straws, sleeves. Column G works out what one gram, millilitre or piece costs you, and the Recipes sheet uses it to price each drink. The two example rows show the format — type over them.</t>
        </is>
      </c>
    </row>
    <row r="4" ht="30" customHeight="1">
      <c r="A4" s="16" t="inlineStr">
        <is>
          <t>Ingredient</t>
        </is>
      </c>
      <c r="B4" s="16" t="inlineStr">
        <is>
          <t>What kind</t>
        </is>
      </c>
      <c r="C4" s="16" t="inlineStr">
        <is>
          <t>Measured in</t>
        </is>
      </c>
      <c r="D4" s="16" t="inlineStr">
        <is>
          <t>You buy it by the</t>
        </is>
      </c>
      <c r="E4" s="16" t="inlineStr">
        <is>
          <t>How much is in one of those</t>
        </is>
      </c>
      <c r="F4" s="16" t="inlineStr">
        <is>
          <t>What you pay for one ₱</t>
        </is>
      </c>
      <c r="G4" s="16" t="inlineStr">
        <is>
          <t>Cost per g / ml / piece ₱</t>
        </is>
      </c>
      <c r="H4" s="16" t="inlineStr">
        <is>
          <t>Track the stock?</t>
        </is>
      </c>
      <c r="I4" s="16" t="inlineStr">
        <is>
          <t>Reorder when below</t>
        </is>
      </c>
      <c r="J4" s="16" t="inlineStr">
        <is>
          <t>Panic when below</t>
        </is>
      </c>
      <c r="K4" s="16" t="inlineStr">
        <is>
          <t>How much you have now</t>
        </is>
      </c>
      <c r="L4" s="16" t="inlineStr">
        <is>
          <t>Supplier</t>
        </is>
      </c>
      <c r="M4" s="16" t="inlineStr">
        <is>
          <t>Your notes</t>
        </is>
      </c>
    </row>
    <row r="5">
      <c r="A5" s="33" t="inlineStr">
        <is>
          <t>Coffee beans (example — type over)</t>
        </is>
      </c>
      <c r="B5" s="33" t="inlineStr">
        <is>
          <t>Coffee</t>
        </is>
      </c>
      <c r="C5" s="33" t="inlineStr">
        <is>
          <t>g</t>
        </is>
      </c>
      <c r="D5" s="33" t="inlineStr">
        <is>
          <t>kg</t>
        </is>
      </c>
      <c r="E5" s="33" t="n">
        <v>1000</v>
      </c>
      <c r="F5" s="34" t="n">
        <v>1200</v>
      </c>
      <c r="G5" s="35">
        <f>IF(OR($E5="",$E5=0),"",$F5/$E5)</f>
        <v/>
      </c>
      <c r="H5" s="33" t="inlineStr">
        <is>
          <t>Yes</t>
        </is>
      </c>
      <c r="I5" s="33" t="n">
        <v>2000</v>
      </c>
      <c r="J5" s="33" t="n">
        <v>1000</v>
      </c>
      <c r="K5" s="33" t="n">
        <v>5000</v>
      </c>
      <c r="L5" s="33" t="n"/>
      <c r="M5" s="33" t="inlineStr">
        <is>
          <t>1 kg bag</t>
        </is>
      </c>
    </row>
    <row r="6">
      <c r="A6" s="33" t="inlineStr">
        <is>
          <t>Grande cup 16oz (example — type over)</t>
        </is>
      </c>
      <c r="B6" s="33" t="inlineStr">
        <is>
          <t>Packaging</t>
        </is>
      </c>
      <c r="C6" s="33" t="inlineStr">
        <is>
          <t>pcs</t>
        </is>
      </c>
      <c r="D6" s="33" t="inlineStr">
        <is>
          <t>pack</t>
        </is>
      </c>
      <c r="E6" s="33" t="n">
        <v>50</v>
      </c>
      <c r="F6" s="34" t="n">
        <v>250</v>
      </c>
      <c r="G6" s="35">
        <f>IF(OR($E6="",$E6=0),"",$F6/$E6)</f>
        <v/>
      </c>
      <c r="H6" s="33" t="inlineStr">
        <is>
          <t>Yes</t>
        </is>
      </c>
      <c r="I6" s="33" t="n">
        <v>100</v>
      </c>
      <c r="J6" s="33" t="n">
        <v>50</v>
      </c>
      <c r="K6" s="33" t="n">
        <v>300</v>
      </c>
      <c r="L6" s="33" t="n"/>
      <c r="M6" s="33" t="inlineStr">
        <is>
          <t>50 per pack</t>
        </is>
      </c>
    </row>
    <row r="7">
      <c r="A7" s="27" t="n"/>
      <c r="B7" s="27" t="n"/>
      <c r="C7" s="27" t="n"/>
      <c r="D7" s="27" t="n"/>
      <c r="E7" s="27" t="n"/>
      <c r="F7" s="36" t="n"/>
      <c r="G7" s="37">
        <f>IF(OR($E7="",$E7=0),"",$F7/$E7)</f>
        <v/>
      </c>
      <c r="H7" s="27" t="n"/>
      <c r="I7" s="27" t="n"/>
      <c r="J7" s="27" t="n"/>
      <c r="K7" s="27" t="n"/>
      <c r="L7" s="27" t="n"/>
      <c r="M7" s="27" t="n"/>
    </row>
    <row r="8">
      <c r="A8" s="27" t="n"/>
      <c r="B8" s="27" t="n"/>
      <c r="C8" s="27" t="n"/>
      <c r="D8" s="27" t="n"/>
      <c r="E8" s="27" t="n"/>
      <c r="F8" s="36" t="n"/>
      <c r="G8" s="37">
        <f>IF(OR($E8="",$E8=0),"",$F8/$E8)</f>
        <v/>
      </c>
      <c r="H8" s="27" t="n"/>
      <c r="I8" s="27" t="n"/>
      <c r="J8" s="27" t="n"/>
      <c r="K8" s="27" t="n"/>
      <c r="L8" s="27" t="n"/>
      <c r="M8" s="27" t="n"/>
    </row>
    <row r="9">
      <c r="A9" s="27" t="n"/>
      <c r="B9" s="27" t="n"/>
      <c r="C9" s="27" t="n"/>
      <c r="D9" s="27" t="n"/>
      <c r="E9" s="27" t="n"/>
      <c r="F9" s="36" t="n"/>
      <c r="G9" s="37">
        <f>IF(OR($E9="",$E9=0),"",$F9/$E9)</f>
        <v/>
      </c>
      <c r="H9" s="27" t="n"/>
      <c r="I9" s="27" t="n"/>
      <c r="J9" s="27" t="n"/>
      <c r="K9" s="27" t="n"/>
      <c r="L9" s="27" t="n"/>
      <c r="M9" s="27" t="n"/>
    </row>
    <row r="10">
      <c r="A10" s="27" t="n"/>
      <c r="B10" s="27" t="n"/>
      <c r="C10" s="27" t="n"/>
      <c r="D10" s="27" t="n"/>
      <c r="E10" s="27" t="n"/>
      <c r="F10" s="36" t="n"/>
      <c r="G10" s="37">
        <f>IF(OR($E10="",$E10=0),"",$F10/$E10)</f>
        <v/>
      </c>
      <c r="H10" s="27" t="n"/>
      <c r="I10" s="27" t="n"/>
      <c r="J10" s="27" t="n"/>
      <c r="K10" s="27" t="n"/>
      <c r="L10" s="27" t="n"/>
      <c r="M10" s="27" t="n"/>
    </row>
    <row r="11">
      <c r="A11" s="27" t="n"/>
      <c r="B11" s="27" t="n"/>
      <c r="C11" s="27" t="n"/>
      <c r="D11" s="27" t="n"/>
      <c r="E11" s="27" t="n"/>
      <c r="F11" s="36" t="n"/>
      <c r="G11" s="37">
        <f>IF(OR($E11="",$E11=0),"",$F11/$E11)</f>
        <v/>
      </c>
      <c r="H11" s="27" t="n"/>
      <c r="I11" s="27" t="n"/>
      <c r="J11" s="27" t="n"/>
      <c r="K11" s="27" t="n"/>
      <c r="L11" s="27" t="n"/>
      <c r="M11" s="27" t="n"/>
    </row>
    <row r="12">
      <c r="A12" s="27" t="n"/>
      <c r="B12" s="27" t="n"/>
      <c r="C12" s="27" t="n"/>
      <c r="D12" s="27" t="n"/>
      <c r="E12" s="27" t="n"/>
      <c r="F12" s="36" t="n"/>
      <c r="G12" s="37">
        <f>IF(OR($E12="",$E12=0),"",$F12/$E12)</f>
        <v/>
      </c>
      <c r="H12" s="27" t="n"/>
      <c r="I12" s="27" t="n"/>
      <c r="J12" s="27" t="n"/>
      <c r="K12" s="27" t="n"/>
      <c r="L12" s="27" t="n"/>
      <c r="M12" s="27" t="n"/>
    </row>
    <row r="13">
      <c r="A13" s="27" t="n"/>
      <c r="B13" s="27" t="n"/>
      <c r="C13" s="27" t="n"/>
      <c r="D13" s="27" t="n"/>
      <c r="E13" s="27" t="n"/>
      <c r="F13" s="36" t="n"/>
      <c r="G13" s="37">
        <f>IF(OR($E13="",$E13=0),"",$F13/$E13)</f>
        <v/>
      </c>
      <c r="H13" s="27" t="n"/>
      <c r="I13" s="27" t="n"/>
      <c r="J13" s="27" t="n"/>
      <c r="K13" s="27" t="n"/>
      <c r="L13" s="27" t="n"/>
      <c r="M13" s="27" t="n"/>
    </row>
    <row r="14">
      <c r="A14" s="27" t="n"/>
      <c r="B14" s="27" t="n"/>
      <c r="C14" s="27" t="n"/>
      <c r="D14" s="27" t="n"/>
      <c r="E14" s="27" t="n"/>
      <c r="F14" s="36" t="n"/>
      <c r="G14" s="37">
        <f>IF(OR($E14="",$E14=0),"",$F14/$E14)</f>
        <v/>
      </c>
      <c r="H14" s="27" t="n"/>
      <c r="I14" s="27" t="n"/>
      <c r="J14" s="27" t="n"/>
      <c r="K14" s="27" t="n"/>
      <c r="L14" s="27" t="n"/>
      <c r="M14" s="27" t="n"/>
    </row>
    <row r="15">
      <c r="A15" s="27" t="n"/>
      <c r="B15" s="27" t="n"/>
      <c r="C15" s="27" t="n"/>
      <c r="D15" s="27" t="n"/>
      <c r="E15" s="27" t="n"/>
      <c r="F15" s="36" t="n"/>
      <c r="G15" s="37">
        <f>IF(OR($E15="",$E15=0),"",$F15/$E15)</f>
        <v/>
      </c>
      <c r="H15" s="27" t="n"/>
      <c r="I15" s="27" t="n"/>
      <c r="J15" s="27" t="n"/>
      <c r="K15" s="27" t="n"/>
      <c r="L15" s="27" t="n"/>
      <c r="M15" s="27" t="n"/>
    </row>
    <row r="16">
      <c r="A16" s="27" t="n"/>
      <c r="B16" s="27" t="n"/>
      <c r="C16" s="27" t="n"/>
      <c r="D16" s="27" t="n"/>
      <c r="E16" s="27" t="n"/>
      <c r="F16" s="36" t="n"/>
      <c r="G16" s="37">
        <f>IF(OR($E16="",$E16=0),"",$F16/$E16)</f>
        <v/>
      </c>
      <c r="H16" s="27" t="n"/>
      <c r="I16" s="27" t="n"/>
      <c r="J16" s="27" t="n"/>
      <c r="K16" s="27" t="n"/>
      <c r="L16" s="27" t="n"/>
      <c r="M16" s="27" t="n"/>
    </row>
    <row r="17">
      <c r="A17" s="27" t="n"/>
      <c r="B17" s="27" t="n"/>
      <c r="C17" s="27" t="n"/>
      <c r="D17" s="27" t="n"/>
      <c r="E17" s="27" t="n"/>
      <c r="F17" s="36" t="n"/>
      <c r="G17" s="37">
        <f>IF(OR($E17="",$E17=0),"",$F17/$E17)</f>
        <v/>
      </c>
      <c r="H17" s="27" t="n"/>
      <c r="I17" s="27" t="n"/>
      <c r="J17" s="27" t="n"/>
      <c r="K17" s="27" t="n"/>
      <c r="L17" s="27" t="n"/>
      <c r="M17" s="27" t="n"/>
    </row>
    <row r="18">
      <c r="A18" s="27" t="n"/>
      <c r="B18" s="27" t="n"/>
      <c r="C18" s="27" t="n"/>
      <c r="D18" s="27" t="n"/>
      <c r="E18" s="27" t="n"/>
      <c r="F18" s="36" t="n"/>
      <c r="G18" s="37">
        <f>IF(OR($E18="",$E18=0),"",$F18/$E18)</f>
        <v/>
      </c>
      <c r="H18" s="27" t="n"/>
      <c r="I18" s="27" t="n"/>
      <c r="J18" s="27" t="n"/>
      <c r="K18" s="27" t="n"/>
      <c r="L18" s="27" t="n"/>
      <c r="M18" s="27" t="n"/>
    </row>
    <row r="19">
      <c r="A19" s="27" t="n"/>
      <c r="B19" s="27" t="n"/>
      <c r="C19" s="27" t="n"/>
      <c r="D19" s="27" t="n"/>
      <c r="E19" s="27" t="n"/>
      <c r="F19" s="36" t="n"/>
      <c r="G19" s="37">
        <f>IF(OR($E19="",$E19=0),"",$F19/$E19)</f>
        <v/>
      </c>
      <c r="H19" s="27" t="n"/>
      <c r="I19" s="27" t="n"/>
      <c r="J19" s="27" t="n"/>
      <c r="K19" s="27" t="n"/>
      <c r="L19" s="27" t="n"/>
      <c r="M19" s="27" t="n"/>
    </row>
    <row r="20">
      <c r="A20" s="27" t="n"/>
      <c r="B20" s="27" t="n"/>
      <c r="C20" s="27" t="n"/>
      <c r="D20" s="27" t="n"/>
      <c r="E20" s="27" t="n"/>
      <c r="F20" s="36" t="n"/>
      <c r="G20" s="37">
        <f>IF(OR($E20="",$E20=0),"",$F20/$E20)</f>
        <v/>
      </c>
      <c r="H20" s="27" t="n"/>
      <c r="I20" s="27" t="n"/>
      <c r="J20" s="27" t="n"/>
      <c r="K20" s="27" t="n"/>
      <c r="L20" s="27" t="n"/>
      <c r="M20" s="27" t="n"/>
    </row>
    <row r="21">
      <c r="A21" s="27" t="n"/>
      <c r="B21" s="27" t="n"/>
      <c r="C21" s="27" t="n"/>
      <c r="D21" s="27" t="n"/>
      <c r="E21" s="27" t="n"/>
      <c r="F21" s="36" t="n"/>
      <c r="G21" s="37">
        <f>IF(OR($E21="",$E21=0),"",$F21/$E21)</f>
        <v/>
      </c>
      <c r="H21" s="27" t="n"/>
      <c r="I21" s="27" t="n"/>
      <c r="J21" s="27" t="n"/>
      <c r="K21" s="27" t="n"/>
      <c r="L21" s="27" t="n"/>
      <c r="M21" s="27" t="n"/>
    </row>
    <row r="22">
      <c r="A22" s="27" t="n"/>
      <c r="B22" s="27" t="n"/>
      <c r="C22" s="27" t="n"/>
      <c r="D22" s="27" t="n"/>
      <c r="E22" s="27" t="n"/>
      <c r="F22" s="36" t="n"/>
      <c r="G22" s="37">
        <f>IF(OR($E22="",$E22=0),"",$F22/$E22)</f>
        <v/>
      </c>
      <c r="H22" s="27" t="n"/>
      <c r="I22" s="27" t="n"/>
      <c r="J22" s="27" t="n"/>
      <c r="K22" s="27" t="n"/>
      <c r="L22" s="27" t="n"/>
      <c r="M22" s="27" t="n"/>
    </row>
    <row r="23">
      <c r="A23" s="27" t="n"/>
      <c r="B23" s="27" t="n"/>
      <c r="C23" s="27" t="n"/>
      <c r="D23" s="27" t="n"/>
      <c r="E23" s="27" t="n"/>
      <c r="F23" s="36" t="n"/>
      <c r="G23" s="37">
        <f>IF(OR($E23="",$E23=0),"",$F23/$E23)</f>
        <v/>
      </c>
      <c r="H23" s="27" t="n"/>
      <c r="I23" s="27" t="n"/>
      <c r="J23" s="27" t="n"/>
      <c r="K23" s="27" t="n"/>
      <c r="L23" s="27" t="n"/>
      <c r="M23" s="27" t="n"/>
    </row>
    <row r="24">
      <c r="A24" s="27" t="n"/>
      <c r="B24" s="27" t="n"/>
      <c r="C24" s="27" t="n"/>
      <c r="D24" s="27" t="n"/>
      <c r="E24" s="27" t="n"/>
      <c r="F24" s="36" t="n"/>
      <c r="G24" s="37">
        <f>IF(OR($E24="",$E24=0),"",$F24/$E24)</f>
        <v/>
      </c>
      <c r="H24" s="27" t="n"/>
      <c r="I24" s="27" t="n"/>
      <c r="J24" s="27" t="n"/>
      <c r="K24" s="27" t="n"/>
      <c r="L24" s="27" t="n"/>
      <c r="M24" s="27" t="n"/>
    </row>
    <row r="25">
      <c r="A25" s="27" t="n"/>
      <c r="B25" s="27" t="n"/>
      <c r="C25" s="27" t="n"/>
      <c r="D25" s="27" t="n"/>
      <c r="E25" s="27" t="n"/>
      <c r="F25" s="36" t="n"/>
      <c r="G25" s="37">
        <f>IF(OR($E25="",$E25=0),"",$F25/$E25)</f>
        <v/>
      </c>
      <c r="H25" s="27" t="n"/>
      <c r="I25" s="27" t="n"/>
      <c r="J25" s="27" t="n"/>
      <c r="K25" s="27" t="n"/>
      <c r="L25" s="27" t="n"/>
      <c r="M25" s="27" t="n"/>
    </row>
    <row r="26">
      <c r="A26" s="27" t="n"/>
      <c r="B26" s="27" t="n"/>
      <c r="C26" s="27" t="n"/>
      <c r="D26" s="27" t="n"/>
      <c r="E26" s="27" t="n"/>
      <c r="F26" s="36" t="n"/>
      <c r="G26" s="37">
        <f>IF(OR($E26="",$E26=0),"",$F26/$E26)</f>
        <v/>
      </c>
      <c r="H26" s="27" t="n"/>
      <c r="I26" s="27" t="n"/>
      <c r="J26" s="27" t="n"/>
      <c r="K26" s="27" t="n"/>
      <c r="L26" s="27" t="n"/>
      <c r="M26" s="27" t="n"/>
    </row>
    <row r="27">
      <c r="A27" s="27" t="n"/>
      <c r="B27" s="27" t="n"/>
      <c r="C27" s="27" t="n"/>
      <c r="D27" s="27" t="n"/>
      <c r="E27" s="27" t="n"/>
      <c r="F27" s="36" t="n"/>
      <c r="G27" s="37">
        <f>IF(OR($E27="",$E27=0),"",$F27/$E27)</f>
        <v/>
      </c>
      <c r="H27" s="27" t="n"/>
      <c r="I27" s="27" t="n"/>
      <c r="J27" s="27" t="n"/>
      <c r="K27" s="27" t="n"/>
      <c r="L27" s="27" t="n"/>
      <c r="M27" s="27" t="n"/>
    </row>
    <row r="28">
      <c r="A28" s="27" t="n"/>
      <c r="B28" s="27" t="n"/>
      <c r="C28" s="27" t="n"/>
      <c r="D28" s="27" t="n"/>
      <c r="E28" s="27" t="n"/>
      <c r="F28" s="36" t="n"/>
      <c r="G28" s="37">
        <f>IF(OR($E28="",$E28=0),"",$F28/$E28)</f>
        <v/>
      </c>
      <c r="H28" s="27" t="n"/>
      <c r="I28" s="27" t="n"/>
      <c r="J28" s="27" t="n"/>
      <c r="K28" s="27" t="n"/>
      <c r="L28" s="27" t="n"/>
      <c r="M28" s="27" t="n"/>
    </row>
    <row r="29">
      <c r="A29" s="27" t="n"/>
      <c r="B29" s="27" t="n"/>
      <c r="C29" s="27" t="n"/>
      <c r="D29" s="27" t="n"/>
      <c r="E29" s="27" t="n"/>
      <c r="F29" s="36" t="n"/>
      <c r="G29" s="37">
        <f>IF(OR($E29="",$E29=0),"",$F29/$E29)</f>
        <v/>
      </c>
      <c r="H29" s="27" t="n"/>
      <c r="I29" s="27" t="n"/>
      <c r="J29" s="27" t="n"/>
      <c r="K29" s="27" t="n"/>
      <c r="L29" s="27" t="n"/>
      <c r="M29" s="27" t="n"/>
    </row>
    <row r="30">
      <c r="A30" s="27" t="n"/>
      <c r="B30" s="27" t="n"/>
      <c r="C30" s="27" t="n"/>
      <c r="D30" s="27" t="n"/>
      <c r="E30" s="27" t="n"/>
      <c r="F30" s="36" t="n"/>
      <c r="G30" s="37">
        <f>IF(OR($E30="",$E30=0),"",$F30/$E30)</f>
        <v/>
      </c>
      <c r="H30" s="27" t="n"/>
      <c r="I30" s="27" t="n"/>
      <c r="J30" s="27" t="n"/>
      <c r="K30" s="27" t="n"/>
      <c r="L30" s="27" t="n"/>
      <c r="M30" s="27" t="n"/>
    </row>
    <row r="31">
      <c r="A31" s="27" t="n"/>
      <c r="B31" s="27" t="n"/>
      <c r="C31" s="27" t="n"/>
      <c r="D31" s="27" t="n"/>
      <c r="E31" s="27" t="n"/>
      <c r="F31" s="36" t="n"/>
      <c r="G31" s="37">
        <f>IF(OR($E31="",$E31=0),"",$F31/$E31)</f>
        <v/>
      </c>
      <c r="H31" s="27" t="n"/>
      <c r="I31" s="27" t="n"/>
      <c r="J31" s="27" t="n"/>
      <c r="K31" s="27" t="n"/>
      <c r="L31" s="27" t="n"/>
      <c r="M31" s="27" t="n"/>
    </row>
    <row r="32">
      <c r="A32" s="27" t="n"/>
      <c r="B32" s="27" t="n"/>
      <c r="C32" s="27" t="n"/>
      <c r="D32" s="27" t="n"/>
      <c r="E32" s="27" t="n"/>
      <c r="F32" s="36" t="n"/>
      <c r="G32" s="37">
        <f>IF(OR($E32="",$E32=0),"",$F32/$E32)</f>
        <v/>
      </c>
      <c r="H32" s="27" t="n"/>
      <c r="I32" s="27" t="n"/>
      <c r="J32" s="27" t="n"/>
      <c r="K32" s="27" t="n"/>
      <c r="L32" s="27" t="n"/>
      <c r="M32" s="27" t="n"/>
    </row>
    <row r="33">
      <c r="A33" s="27" t="n"/>
      <c r="B33" s="27" t="n"/>
      <c r="C33" s="27" t="n"/>
      <c r="D33" s="27" t="n"/>
      <c r="E33" s="27" t="n"/>
      <c r="F33" s="36" t="n"/>
      <c r="G33" s="37">
        <f>IF(OR($E33="",$E33=0),"",$F33/$E33)</f>
        <v/>
      </c>
      <c r="H33" s="27" t="n"/>
      <c r="I33" s="27" t="n"/>
      <c r="J33" s="27" t="n"/>
      <c r="K33" s="27" t="n"/>
      <c r="L33" s="27" t="n"/>
      <c r="M33" s="27" t="n"/>
    </row>
    <row r="34">
      <c r="A34" s="27" t="n"/>
      <c r="B34" s="27" t="n"/>
      <c r="C34" s="27" t="n"/>
      <c r="D34" s="27" t="n"/>
      <c r="E34" s="27" t="n"/>
      <c r="F34" s="36" t="n"/>
      <c r="G34" s="37">
        <f>IF(OR($E34="",$E34=0),"",$F34/$E34)</f>
        <v/>
      </c>
      <c r="H34" s="27" t="n"/>
      <c r="I34" s="27" t="n"/>
      <c r="J34" s="27" t="n"/>
      <c r="K34" s="27" t="n"/>
      <c r="L34" s="27" t="n"/>
      <c r="M34" s="27" t="n"/>
    </row>
    <row r="35">
      <c r="A35" s="27" t="n"/>
      <c r="B35" s="27" t="n"/>
      <c r="C35" s="27" t="n"/>
      <c r="D35" s="27" t="n"/>
      <c r="E35" s="27" t="n"/>
      <c r="F35" s="36" t="n"/>
      <c r="G35" s="37">
        <f>IF(OR($E35="",$E35=0),"",$F35/$E35)</f>
        <v/>
      </c>
      <c r="H35" s="27" t="n"/>
      <c r="I35" s="27" t="n"/>
      <c r="J35" s="27" t="n"/>
      <c r="K35" s="27" t="n"/>
      <c r="L35" s="27" t="n"/>
      <c r="M35" s="27" t="n"/>
    </row>
    <row r="36">
      <c r="A36" s="27" t="n"/>
      <c r="B36" s="27" t="n"/>
      <c r="C36" s="27" t="n"/>
      <c r="D36" s="27" t="n"/>
      <c r="E36" s="27" t="n"/>
      <c r="F36" s="36" t="n"/>
      <c r="G36" s="37">
        <f>IF(OR($E36="",$E36=0),"",$F36/$E36)</f>
        <v/>
      </c>
      <c r="H36" s="27" t="n"/>
      <c r="I36" s="27" t="n"/>
      <c r="J36" s="27" t="n"/>
      <c r="K36" s="27" t="n"/>
      <c r="L36" s="27" t="n"/>
      <c r="M36" s="27" t="n"/>
    </row>
    <row r="37">
      <c r="A37" s="27" t="n"/>
      <c r="B37" s="27" t="n"/>
      <c r="C37" s="27" t="n"/>
      <c r="D37" s="27" t="n"/>
      <c r="E37" s="27" t="n"/>
      <c r="F37" s="36" t="n"/>
      <c r="G37" s="37">
        <f>IF(OR($E37="",$E37=0),"",$F37/$E37)</f>
        <v/>
      </c>
      <c r="H37" s="27" t="n"/>
      <c r="I37" s="27" t="n"/>
      <c r="J37" s="27" t="n"/>
      <c r="K37" s="27" t="n"/>
      <c r="L37" s="27" t="n"/>
      <c r="M37" s="27" t="n"/>
    </row>
    <row r="38">
      <c r="A38" s="27" t="n"/>
      <c r="B38" s="27" t="n"/>
      <c r="C38" s="27" t="n"/>
      <c r="D38" s="27" t="n"/>
      <c r="E38" s="27" t="n"/>
      <c r="F38" s="36" t="n"/>
      <c r="G38" s="37">
        <f>IF(OR($E38="",$E38=0),"",$F38/$E38)</f>
        <v/>
      </c>
      <c r="H38" s="27" t="n"/>
      <c r="I38" s="27" t="n"/>
      <c r="J38" s="27" t="n"/>
      <c r="K38" s="27" t="n"/>
      <c r="L38" s="27" t="n"/>
      <c r="M38" s="27" t="n"/>
    </row>
    <row r="39">
      <c r="A39" s="27" t="n"/>
      <c r="B39" s="27" t="n"/>
      <c r="C39" s="27" t="n"/>
      <c r="D39" s="27" t="n"/>
      <c r="E39" s="27" t="n"/>
      <c r="F39" s="36" t="n"/>
      <c r="G39" s="37">
        <f>IF(OR($E39="",$E39=0),"",$F39/$E39)</f>
        <v/>
      </c>
      <c r="H39" s="27" t="n"/>
      <c r="I39" s="27" t="n"/>
      <c r="J39" s="27" t="n"/>
      <c r="K39" s="27" t="n"/>
      <c r="L39" s="27" t="n"/>
      <c r="M39" s="27" t="n"/>
    </row>
    <row r="40">
      <c r="A40" s="27" t="n"/>
      <c r="B40" s="27" t="n"/>
      <c r="C40" s="27" t="n"/>
      <c r="D40" s="27" t="n"/>
      <c r="E40" s="27" t="n"/>
      <c r="F40" s="36" t="n"/>
      <c r="G40" s="37">
        <f>IF(OR($E40="",$E40=0),"",$F40/$E40)</f>
        <v/>
      </c>
      <c r="H40" s="27" t="n"/>
      <c r="I40" s="27" t="n"/>
      <c r="J40" s="27" t="n"/>
      <c r="K40" s="27" t="n"/>
      <c r="L40" s="27" t="n"/>
      <c r="M40" s="27" t="n"/>
    </row>
    <row r="41">
      <c r="A41" s="27" t="n"/>
      <c r="B41" s="27" t="n"/>
      <c r="C41" s="27" t="n"/>
      <c r="D41" s="27" t="n"/>
      <c r="E41" s="27" t="n"/>
      <c r="F41" s="36" t="n"/>
      <c r="G41" s="37">
        <f>IF(OR($E41="",$E41=0),"",$F41/$E41)</f>
        <v/>
      </c>
      <c r="H41" s="27" t="n"/>
      <c r="I41" s="27" t="n"/>
      <c r="J41" s="27" t="n"/>
      <c r="K41" s="27" t="n"/>
      <c r="L41" s="27" t="n"/>
      <c r="M41" s="27" t="n"/>
    </row>
    <row r="42">
      <c r="A42" s="27" t="n"/>
      <c r="B42" s="27" t="n"/>
      <c r="C42" s="27" t="n"/>
      <c r="D42" s="27" t="n"/>
      <c r="E42" s="27" t="n"/>
      <c r="F42" s="36" t="n"/>
      <c r="G42" s="37">
        <f>IF(OR($E42="",$E42=0),"",$F42/$E42)</f>
        <v/>
      </c>
      <c r="H42" s="27" t="n"/>
      <c r="I42" s="27" t="n"/>
      <c r="J42" s="27" t="n"/>
      <c r="K42" s="27" t="n"/>
      <c r="L42" s="27" t="n"/>
      <c r="M42" s="27" t="n"/>
    </row>
    <row r="43">
      <c r="A43" s="27" t="n"/>
      <c r="B43" s="27" t="n"/>
      <c r="C43" s="27" t="n"/>
      <c r="D43" s="27" t="n"/>
      <c r="E43" s="27" t="n"/>
      <c r="F43" s="36" t="n"/>
      <c r="G43" s="37">
        <f>IF(OR($E43="",$E43=0),"",$F43/$E43)</f>
        <v/>
      </c>
      <c r="H43" s="27" t="n"/>
      <c r="I43" s="27" t="n"/>
      <c r="J43" s="27" t="n"/>
      <c r="K43" s="27" t="n"/>
      <c r="L43" s="27" t="n"/>
      <c r="M43" s="27" t="n"/>
    </row>
    <row r="44">
      <c r="A44" s="27" t="n"/>
      <c r="B44" s="27" t="n"/>
      <c r="C44" s="27" t="n"/>
      <c r="D44" s="27" t="n"/>
      <c r="E44" s="27" t="n"/>
      <c r="F44" s="36" t="n"/>
      <c r="G44" s="37">
        <f>IF(OR($E44="",$E44=0),"",$F44/$E44)</f>
        <v/>
      </c>
      <c r="H44" s="27" t="n"/>
      <c r="I44" s="27" t="n"/>
      <c r="J44" s="27" t="n"/>
      <c r="K44" s="27" t="n"/>
      <c r="L44" s="27" t="n"/>
      <c r="M44" s="27" t="n"/>
    </row>
    <row r="45">
      <c r="A45" s="27" t="n"/>
      <c r="B45" s="27" t="n"/>
      <c r="C45" s="27" t="n"/>
      <c r="D45" s="27" t="n"/>
      <c r="E45" s="27" t="n"/>
      <c r="F45" s="36" t="n"/>
      <c r="G45" s="37">
        <f>IF(OR($E45="",$E45=0),"",$F45/$E45)</f>
        <v/>
      </c>
      <c r="H45" s="27" t="n"/>
      <c r="I45" s="27" t="n"/>
      <c r="J45" s="27" t="n"/>
      <c r="K45" s="27" t="n"/>
      <c r="L45" s="27" t="n"/>
      <c r="M45" s="27" t="n"/>
    </row>
    <row r="46">
      <c r="A46" s="27" t="n"/>
      <c r="B46" s="27" t="n"/>
      <c r="C46" s="27" t="n"/>
      <c r="D46" s="27" t="n"/>
      <c r="E46" s="27" t="n"/>
      <c r="F46" s="36" t="n"/>
      <c r="G46" s="37">
        <f>IF(OR($E46="",$E46=0),"",$F46/$E46)</f>
        <v/>
      </c>
      <c r="H46" s="27" t="n"/>
      <c r="I46" s="27" t="n"/>
      <c r="J46" s="27" t="n"/>
      <c r="K46" s="27" t="n"/>
      <c r="L46" s="27" t="n"/>
      <c r="M46" s="27" t="n"/>
    </row>
    <row r="47">
      <c r="A47" s="27" t="n"/>
      <c r="B47" s="27" t="n"/>
      <c r="C47" s="27" t="n"/>
      <c r="D47" s="27" t="n"/>
      <c r="E47" s="27" t="n"/>
      <c r="F47" s="36" t="n"/>
      <c r="G47" s="37">
        <f>IF(OR($E47="",$E47=0),"",$F47/$E47)</f>
        <v/>
      </c>
      <c r="H47" s="27" t="n"/>
      <c r="I47" s="27" t="n"/>
      <c r="J47" s="27" t="n"/>
      <c r="K47" s="27" t="n"/>
      <c r="L47" s="27" t="n"/>
      <c r="M47" s="27" t="n"/>
    </row>
    <row r="48">
      <c r="A48" s="27" t="n"/>
      <c r="B48" s="27" t="n"/>
      <c r="C48" s="27" t="n"/>
      <c r="D48" s="27" t="n"/>
      <c r="E48" s="27" t="n"/>
      <c r="F48" s="36" t="n"/>
      <c r="G48" s="37">
        <f>IF(OR($E48="",$E48=0),"",$F48/$E48)</f>
        <v/>
      </c>
      <c r="H48" s="27" t="n"/>
      <c r="I48" s="27" t="n"/>
      <c r="J48" s="27" t="n"/>
      <c r="K48" s="27" t="n"/>
      <c r="L48" s="27" t="n"/>
      <c r="M48" s="27" t="n"/>
    </row>
    <row r="49">
      <c r="A49" s="27" t="n"/>
      <c r="B49" s="27" t="n"/>
      <c r="C49" s="27" t="n"/>
      <c r="D49" s="27" t="n"/>
      <c r="E49" s="27" t="n"/>
      <c r="F49" s="36" t="n"/>
      <c r="G49" s="37">
        <f>IF(OR($E49="",$E49=0),"",$F49/$E49)</f>
        <v/>
      </c>
      <c r="H49" s="27" t="n"/>
      <c r="I49" s="27" t="n"/>
      <c r="J49" s="27" t="n"/>
      <c r="K49" s="27" t="n"/>
      <c r="L49" s="27" t="n"/>
      <c r="M49" s="27" t="n"/>
    </row>
    <row r="50">
      <c r="A50" s="27" t="n"/>
      <c r="B50" s="27" t="n"/>
      <c r="C50" s="27" t="n"/>
      <c r="D50" s="27" t="n"/>
      <c r="E50" s="27" t="n"/>
      <c r="F50" s="36" t="n"/>
      <c r="G50" s="37">
        <f>IF(OR($E50="",$E50=0),"",$F50/$E50)</f>
        <v/>
      </c>
      <c r="H50" s="27" t="n"/>
      <c r="I50" s="27" t="n"/>
      <c r="J50" s="27" t="n"/>
      <c r="K50" s="27" t="n"/>
      <c r="L50" s="27" t="n"/>
      <c r="M50" s="27" t="n"/>
    </row>
    <row r="51">
      <c r="A51" s="27" t="n"/>
      <c r="B51" s="27" t="n"/>
      <c r="C51" s="27" t="n"/>
      <c r="D51" s="27" t="n"/>
      <c r="E51" s="27" t="n"/>
      <c r="F51" s="36" t="n"/>
      <c r="G51" s="37">
        <f>IF(OR($E51="",$E51=0),"",$F51/$E51)</f>
        <v/>
      </c>
      <c r="H51" s="27" t="n"/>
      <c r="I51" s="27" t="n"/>
      <c r="J51" s="27" t="n"/>
      <c r="K51" s="27" t="n"/>
      <c r="L51" s="27" t="n"/>
      <c r="M51" s="27" t="n"/>
    </row>
    <row r="52">
      <c r="A52" s="27" t="n"/>
      <c r="B52" s="27" t="n"/>
      <c r="C52" s="27" t="n"/>
      <c r="D52" s="27" t="n"/>
      <c r="E52" s="27" t="n"/>
      <c r="F52" s="36" t="n"/>
      <c r="G52" s="37">
        <f>IF(OR($E52="",$E52=0),"",$F52/$E52)</f>
        <v/>
      </c>
      <c r="H52" s="27" t="n"/>
      <c r="I52" s="27" t="n"/>
      <c r="J52" s="27" t="n"/>
      <c r="K52" s="27" t="n"/>
      <c r="L52" s="27" t="n"/>
      <c r="M52" s="27" t="n"/>
    </row>
    <row r="53">
      <c r="A53" s="27" t="n"/>
      <c r="B53" s="27" t="n"/>
      <c r="C53" s="27" t="n"/>
      <c r="D53" s="27" t="n"/>
      <c r="E53" s="27" t="n"/>
      <c r="F53" s="36" t="n"/>
      <c r="G53" s="37">
        <f>IF(OR($E53="",$E53=0),"",$F53/$E53)</f>
        <v/>
      </c>
      <c r="H53" s="27" t="n"/>
      <c r="I53" s="27" t="n"/>
      <c r="J53" s="27" t="n"/>
      <c r="K53" s="27" t="n"/>
      <c r="L53" s="27" t="n"/>
      <c r="M53" s="27" t="n"/>
    </row>
    <row r="54">
      <c r="A54" s="27" t="n"/>
      <c r="B54" s="27" t="n"/>
      <c r="C54" s="27" t="n"/>
      <c r="D54" s="27" t="n"/>
      <c r="E54" s="27" t="n"/>
      <c r="F54" s="36" t="n"/>
      <c r="G54" s="37">
        <f>IF(OR($E54="",$E54=0),"",$F54/$E54)</f>
        <v/>
      </c>
      <c r="H54" s="27" t="n"/>
      <c r="I54" s="27" t="n"/>
      <c r="J54" s="27" t="n"/>
      <c r="K54" s="27" t="n"/>
      <c r="L54" s="27" t="n"/>
      <c r="M54" s="27" t="n"/>
    </row>
    <row r="56">
      <c r="A56" s="28" t="inlineStr">
        <is>
          <t>Measured in — use g for anything you weigh, ml for anything you pour, pcs for anything you count (cups, lids, eggs).</t>
        </is>
      </c>
    </row>
    <row r="57">
      <c r="A57" s="28" t="inlineStr">
        <is>
          <t>How much is in one — in that same unit. A 1 kg bag of beans is 1000 (g). A 1 L carton is 1000 (ml). A 50-pack of cups is 50 (pcs).</t>
        </is>
      </c>
    </row>
    <row r="58">
      <c r="A58" s="28" t="inlineStr">
        <is>
          <t>Track the stock — say No for things made fresh daily, like ice. The app will still cost them, it just will not count them down.</t>
        </is>
      </c>
    </row>
    <row r="59">
      <c r="A59" s="28" t="inlineStr">
        <is>
          <t>Reorder / panic — also in that same unit. "Reorder when below 2000 g" means when under 2 kg of beans are left.</t>
        </is>
      </c>
    </row>
  </sheetData>
  <mergeCells count="6">
    <mergeCell ref="A1:M1"/>
    <mergeCell ref="A58:M58"/>
    <mergeCell ref="A56:M56"/>
    <mergeCell ref="A59:M59"/>
    <mergeCell ref="A57:M57"/>
    <mergeCell ref="A2:M2"/>
  </mergeCells>
  <dataValidations count="3">
    <dataValidation sqref="C7 C8 C9 C10 C11 C12 C13 C14 C15 C16 C17 C18 C19 C20 C21 C22 C23 C24 C25 C26 C27 C28 C29 C30 C31 C32 C33 C34 C35 C36 C37 C38 C39 C40 C41 C42 C43 C44 C45 C46 C47 C48 C49 C50 C51 C52 C53 C54" showDropDown="0" showInputMessage="0" showErrorMessage="0" allowBlank="1" type="list">
      <formula1>"g,ml,pcs"</formula1>
    </dataValidation>
    <dataValidation sqref="H7 H8 H9 H10 H11 H12 H13 H14 H15 H16 H17 H18 H19 H20 H21 H22 H23 H24 H25 H26 H27 H28 H29 H30 H31 H32 H33 H34 H35 H36 H37 H38 H39 H40 H41 H42 H43 H44 H45 H46 H47 H48 H49 H50 H51 H52 H53 H54" showDropDown="0" showInputMessage="0" showErrorMessage="0" allowBlank="1" type="list">
      <formula1>"Yes,No"</formula1>
    </dataValidation>
    <dataValidation sqref="B7 B8 B9 B10 B11 B12 B13 B14 B15 B16 B17 B18 B19 B20 B21 B22 B23 B24 B25 B26 B27 B28 B29 B30 B31 B32 B33 B34 B35 B36 B37 B38 B39 B40 B41 B42 B43 B44 B45 B46 B47 B48 B49 B50 B51 B52 B53 B54" showDropDown="0" showInputMessage="0" showErrorMessage="0" allowBlank="1" type="list">
      <formula1>"Coffee,Milk,Syrup,Sauce,Powder,Dairy,Sweetener,Other food,Packaging"</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2"/>
  <sheetViews>
    <sheetView showGridLines="0" workbookViewId="0">
      <pane ySplit="4" topLeftCell="A5" activePane="bottomLeft" state="frozen"/>
      <selection pane="bottomLeft" activeCell="A1" sqref="A1"/>
    </sheetView>
  </sheetViews>
  <sheetFormatPr baseColWidth="8" defaultRowHeight="15"/>
  <cols>
    <col width="32" customWidth="1" min="1" max="1"/>
    <col width="12" customWidth="1" min="2" max="2"/>
    <col width="26" customWidth="1" min="3" max="3"/>
    <col width="14" customWidth="1" min="4" max="4"/>
    <col width="10" customWidth="1" min="5" max="5"/>
    <col width="4" customWidth="1" min="6" max="6"/>
    <col width="20" customWidth="1" min="7" max="7"/>
    <col width="34" customWidth="1" min="8" max="8"/>
  </cols>
  <sheetData>
    <row r="1" ht="22" customHeight="1">
      <c r="A1" s="14" t="inlineStr">
        <is>
          <t>What goes into each drink</t>
        </is>
      </c>
    </row>
    <row r="2" ht="30" customHeight="1">
      <c r="A2" s="15" t="inlineStr">
        <is>
          <t>One line per ingredient per drink. Include the cup and the lid — they cost money too. Column G prices each line from sheet 4 and adds it up on the Menu sheet, so you can watch your margin as you fill this in. IMPORTANT: if you sell two sizes, each size gets its own lines. A Grande is never just "a Small times two".</t>
        </is>
      </c>
    </row>
    <row r="4" ht="30" customHeight="1">
      <c r="A4" s="16" t="inlineStr">
        <is>
          <t>Drink</t>
        </is>
      </c>
      <c r="B4" s="16" t="inlineStr">
        <is>
          <t>Size name</t>
        </is>
      </c>
      <c r="C4" s="16" t="inlineStr">
        <is>
          <t>Ingredient</t>
        </is>
      </c>
      <c r="D4" s="16" t="inlineStr">
        <is>
          <t>How much</t>
        </is>
      </c>
      <c r="E4" s="16" t="inlineStr">
        <is>
          <t>Unit</t>
        </is>
      </c>
      <c r="F4" s="16" t="inlineStr">
        <is>
          <t>—</t>
        </is>
      </c>
      <c r="G4" s="16" t="inlineStr">
        <is>
          <t>Cost of this much ₱</t>
        </is>
      </c>
      <c r="H4" s="16" t="inlineStr">
        <is>
          <t>Your notes</t>
        </is>
      </c>
    </row>
    <row r="5">
      <c r="A5" s="33" t="inlineStr">
        <is>
          <t>Spanish Latte (example — type over)</t>
        </is>
      </c>
      <c r="B5" s="33" t="inlineStr">
        <is>
          <t>Grande</t>
        </is>
      </c>
      <c r="C5" s="33" t="inlineStr">
        <is>
          <t>Coffee beans</t>
        </is>
      </c>
      <c r="D5" s="33" t="n">
        <v>18</v>
      </c>
      <c r="E5" s="33" t="inlineStr">
        <is>
          <t>g</t>
        </is>
      </c>
      <c r="F5" s="33" t="n"/>
      <c r="G5" s="34">
        <f>IFERROR($D5*INDEX('4 - Ingredients'!$G$5:$G$54,MATCH($C5,'4 - Ingredients'!$A$5:$A$54,0)),0)</f>
        <v/>
      </c>
      <c r="H5" s="33" t="inlineStr">
        <is>
          <t>Two phin brews</t>
        </is>
      </c>
    </row>
    <row r="6">
      <c r="A6" s="33" t="inlineStr">
        <is>
          <t>Spanish Latte (example — type over)</t>
        </is>
      </c>
      <c r="B6" s="33" t="inlineStr">
        <is>
          <t>Grande</t>
        </is>
      </c>
      <c r="C6" s="33" t="inlineStr">
        <is>
          <t>Grande cup 16oz</t>
        </is>
      </c>
      <c r="D6" s="33" t="n">
        <v>1</v>
      </c>
      <c r="E6" s="33" t="inlineStr">
        <is>
          <t>pcs</t>
        </is>
      </c>
      <c r="F6" s="33" t="n"/>
      <c r="G6" s="34">
        <f>IFERROR($D6*INDEX('4 - Ingredients'!$G$5:$G$54,MATCH($C6,'4 - Ingredients'!$A$5:$A$54,0)),0)</f>
        <v/>
      </c>
      <c r="H6" s="33" t="n"/>
    </row>
    <row r="7">
      <c r="A7" s="38" t="inlineStr">
        <is>
          <t>Black</t>
        </is>
      </c>
      <c r="B7" s="27" t="n"/>
      <c r="C7" s="27" t="n"/>
      <c r="D7" s="27" t="n"/>
      <c r="E7" s="27" t="n"/>
      <c r="F7" s="39" t="n"/>
      <c r="G7" s="40">
        <f>IFERROR($D7*INDEX('4 - Ingredients'!$G$5:$G$54,MATCH($C7,'4 - Ingredients'!$A$5:$A$54,0)),0)</f>
        <v/>
      </c>
      <c r="H7" s="27" t="n"/>
    </row>
    <row r="8">
      <c r="A8" s="38" t="inlineStr">
        <is>
          <t>Black</t>
        </is>
      </c>
      <c r="B8" s="27" t="n"/>
      <c r="C8" s="27" t="n"/>
      <c r="D8" s="27" t="n"/>
      <c r="E8" s="27" t="n"/>
      <c r="F8" s="39" t="n"/>
      <c r="G8" s="40">
        <f>IFERROR($D8*INDEX('4 - Ingredients'!$G$5:$G$54,MATCH($C8,'4 - Ingredients'!$A$5:$A$54,0)),0)</f>
        <v/>
      </c>
      <c r="H8" s="27" t="n"/>
    </row>
    <row r="9">
      <c r="A9" s="38" t="inlineStr">
        <is>
          <t>Black</t>
        </is>
      </c>
      <c r="B9" s="27" t="n"/>
      <c r="C9" s="27" t="n"/>
      <c r="D9" s="27" t="n"/>
      <c r="E9" s="27" t="n"/>
      <c r="F9" s="39" t="n"/>
      <c r="G9" s="40">
        <f>IFERROR($D9*INDEX('4 - Ingredients'!$G$5:$G$54,MATCH($C9,'4 - Ingredients'!$A$5:$A$54,0)),0)</f>
        <v/>
      </c>
      <c r="H9" s="27" t="n"/>
    </row>
    <row r="10">
      <c r="A10" s="38" t="inlineStr">
        <is>
          <t>Black</t>
        </is>
      </c>
      <c r="B10" s="27" t="n"/>
      <c r="C10" s="27" t="n"/>
      <c r="D10" s="27" t="n"/>
      <c r="E10" s="27" t="n"/>
      <c r="F10" s="39" t="n"/>
      <c r="G10" s="40">
        <f>IFERROR($D10*INDEX('4 - Ingredients'!$G$5:$G$54,MATCH($C10,'4 - Ingredients'!$A$5:$A$54,0)),0)</f>
        <v/>
      </c>
      <c r="H10" s="27" t="n"/>
    </row>
    <row r="11">
      <c r="A11" s="38" t="inlineStr">
        <is>
          <t>Black</t>
        </is>
      </c>
      <c r="B11" s="27" t="n"/>
      <c r="C11" s="27" t="n"/>
      <c r="D11" s="27" t="n"/>
      <c r="E11" s="27" t="n"/>
      <c r="F11" s="39" t="n"/>
      <c r="G11" s="40">
        <f>IFERROR($D11*INDEX('4 - Ingredients'!$G$5:$G$54,MATCH($C11,'4 - Ingredients'!$A$5:$A$54,0)),0)</f>
        <v/>
      </c>
      <c r="H11" s="27" t="n"/>
    </row>
    <row r="12">
      <c r="A12" s="38" t="inlineStr">
        <is>
          <t>Black</t>
        </is>
      </c>
      <c r="B12" s="27" t="n"/>
      <c r="C12" s="27" t="n"/>
      <c r="D12" s="27" t="n"/>
      <c r="E12" s="27" t="n"/>
      <c r="F12" s="39" t="n"/>
      <c r="G12" s="40">
        <f>IFERROR($D12*INDEX('4 - Ingredients'!$G$5:$G$54,MATCH($C12,'4 - Ingredients'!$A$5:$A$54,0)),0)</f>
        <v/>
      </c>
      <c r="H12" s="27" t="n"/>
    </row>
    <row r="13">
      <c r="A13" s="38" t="inlineStr">
        <is>
          <t>Black</t>
        </is>
      </c>
      <c r="B13" s="27" t="n"/>
      <c r="C13" s="27" t="n"/>
      <c r="D13" s="27" t="n"/>
      <c r="E13" s="27" t="n"/>
      <c r="F13" s="39" t="n"/>
      <c r="G13" s="40">
        <f>IFERROR($D13*INDEX('4 - Ingredients'!$G$5:$G$54,MATCH($C13,'4 - Ingredients'!$A$5:$A$54,0)),0)</f>
        <v/>
      </c>
      <c r="H13" s="27" t="n"/>
    </row>
    <row r="14">
      <c r="A14" s="38" t="inlineStr">
        <is>
          <t>Black</t>
        </is>
      </c>
      <c r="B14" s="27" t="n"/>
      <c r="C14" s="27" t="n"/>
      <c r="D14" s="27" t="n"/>
      <c r="E14" s="27" t="n"/>
      <c r="F14" s="39" t="n"/>
      <c r="G14" s="40">
        <f>IFERROR($D14*INDEX('4 - Ingredients'!$G$5:$G$54,MATCH($C14,'4 - Ingredients'!$A$5:$A$54,0)),0)</f>
        <v/>
      </c>
      <c r="H14" s="27" t="n"/>
    </row>
    <row r="16">
      <c r="A16" s="38" t="inlineStr">
        <is>
          <t>Spanish Latte</t>
        </is>
      </c>
      <c r="B16" s="27" t="n"/>
      <c r="C16" s="27" t="n"/>
      <c r="D16" s="27" t="n"/>
      <c r="E16" s="27" t="n"/>
      <c r="F16" s="39" t="n"/>
      <c r="G16" s="40">
        <f>IFERROR($D16*INDEX('4 - Ingredients'!$G$5:$G$54,MATCH($C16,'4 - Ingredients'!$A$5:$A$54,0)),0)</f>
        <v/>
      </c>
      <c r="H16" s="27" t="n"/>
    </row>
    <row r="17">
      <c r="A17" s="38" t="inlineStr">
        <is>
          <t>Spanish Latte</t>
        </is>
      </c>
      <c r="B17" s="27" t="n"/>
      <c r="C17" s="27" t="n"/>
      <c r="D17" s="27" t="n"/>
      <c r="E17" s="27" t="n"/>
      <c r="F17" s="39" t="n"/>
      <c r="G17" s="40">
        <f>IFERROR($D17*INDEX('4 - Ingredients'!$G$5:$G$54,MATCH($C17,'4 - Ingredients'!$A$5:$A$54,0)),0)</f>
        <v/>
      </c>
      <c r="H17" s="27" t="n"/>
    </row>
    <row r="18">
      <c r="A18" s="38" t="inlineStr">
        <is>
          <t>Spanish Latte</t>
        </is>
      </c>
      <c r="B18" s="27" t="n"/>
      <c r="C18" s="27" t="n"/>
      <c r="D18" s="27" t="n"/>
      <c r="E18" s="27" t="n"/>
      <c r="F18" s="39" t="n"/>
      <c r="G18" s="40">
        <f>IFERROR($D18*INDEX('4 - Ingredients'!$G$5:$G$54,MATCH($C18,'4 - Ingredients'!$A$5:$A$54,0)),0)</f>
        <v/>
      </c>
      <c r="H18" s="27" t="n"/>
    </row>
    <row r="19">
      <c r="A19" s="38" t="inlineStr">
        <is>
          <t>Spanish Latte</t>
        </is>
      </c>
      <c r="B19" s="27" t="n"/>
      <c r="C19" s="27" t="n"/>
      <c r="D19" s="27" t="n"/>
      <c r="E19" s="27" t="n"/>
      <c r="F19" s="39" t="n"/>
      <c r="G19" s="40">
        <f>IFERROR($D19*INDEX('4 - Ingredients'!$G$5:$G$54,MATCH($C19,'4 - Ingredients'!$A$5:$A$54,0)),0)</f>
        <v/>
      </c>
      <c r="H19" s="27" t="n"/>
    </row>
    <row r="20">
      <c r="A20" s="38" t="inlineStr">
        <is>
          <t>Spanish Latte</t>
        </is>
      </c>
      <c r="B20" s="27" t="n"/>
      <c r="C20" s="27" t="n"/>
      <c r="D20" s="27" t="n"/>
      <c r="E20" s="27" t="n"/>
      <c r="F20" s="39" t="n"/>
      <c r="G20" s="40">
        <f>IFERROR($D20*INDEX('4 - Ingredients'!$G$5:$G$54,MATCH($C20,'4 - Ingredients'!$A$5:$A$54,0)),0)</f>
        <v/>
      </c>
      <c r="H20" s="27" t="n"/>
    </row>
    <row r="21">
      <c r="A21" s="38" t="inlineStr">
        <is>
          <t>Spanish Latte</t>
        </is>
      </c>
      <c r="B21" s="27" t="n"/>
      <c r="C21" s="27" t="n"/>
      <c r="D21" s="27" t="n"/>
      <c r="E21" s="27" t="n"/>
      <c r="F21" s="39" t="n"/>
      <c r="G21" s="40">
        <f>IFERROR($D21*INDEX('4 - Ingredients'!$G$5:$G$54,MATCH($C21,'4 - Ingredients'!$A$5:$A$54,0)),0)</f>
        <v/>
      </c>
      <c r="H21" s="27" t="n"/>
    </row>
    <row r="22">
      <c r="A22" s="38" t="inlineStr">
        <is>
          <t>Spanish Latte</t>
        </is>
      </c>
      <c r="B22" s="27" t="n"/>
      <c r="C22" s="27" t="n"/>
      <c r="D22" s="27" t="n"/>
      <c r="E22" s="27" t="n"/>
      <c r="F22" s="39" t="n"/>
      <c r="G22" s="40">
        <f>IFERROR($D22*INDEX('4 - Ingredients'!$G$5:$G$54,MATCH($C22,'4 - Ingredients'!$A$5:$A$54,0)),0)</f>
        <v/>
      </c>
      <c r="H22" s="27" t="n"/>
    </row>
    <row r="23">
      <c r="A23" s="38" t="inlineStr">
        <is>
          <t>Spanish Latte</t>
        </is>
      </c>
      <c r="B23" s="27" t="n"/>
      <c r="C23" s="27" t="n"/>
      <c r="D23" s="27" t="n"/>
      <c r="E23" s="27" t="n"/>
      <c r="F23" s="39" t="n"/>
      <c r="G23" s="40">
        <f>IFERROR($D23*INDEX('4 - Ingredients'!$G$5:$G$54,MATCH($C23,'4 - Ingredients'!$A$5:$A$54,0)),0)</f>
        <v/>
      </c>
      <c r="H23" s="27" t="n"/>
    </row>
    <row r="25">
      <c r="A25" s="38" t="inlineStr">
        <is>
          <t>Caramel Macchiato with Cold Foam</t>
        </is>
      </c>
      <c r="B25" s="27" t="n"/>
      <c r="C25" s="27" t="n"/>
      <c r="D25" s="27" t="n"/>
      <c r="E25" s="27" t="n"/>
      <c r="F25" s="39" t="n"/>
      <c r="G25" s="40">
        <f>IFERROR($D25*INDEX('4 - Ingredients'!$G$5:$G$54,MATCH($C25,'4 - Ingredients'!$A$5:$A$54,0)),0)</f>
        <v/>
      </c>
      <c r="H25" s="27" t="n"/>
    </row>
    <row r="26">
      <c r="A26" s="38" t="inlineStr">
        <is>
          <t>Caramel Macchiato with Cold Foam</t>
        </is>
      </c>
      <c r="B26" s="27" t="n"/>
      <c r="C26" s="27" t="n"/>
      <c r="D26" s="27" t="n"/>
      <c r="E26" s="27" t="n"/>
      <c r="F26" s="39" t="n"/>
      <c r="G26" s="40">
        <f>IFERROR($D26*INDEX('4 - Ingredients'!$G$5:$G$54,MATCH($C26,'4 - Ingredients'!$A$5:$A$54,0)),0)</f>
        <v/>
      </c>
      <c r="H26" s="27" t="n"/>
    </row>
    <row r="27">
      <c r="A27" s="38" t="inlineStr">
        <is>
          <t>Caramel Macchiato with Cold Foam</t>
        </is>
      </c>
      <c r="B27" s="27" t="n"/>
      <c r="C27" s="27" t="n"/>
      <c r="D27" s="27" t="n"/>
      <c r="E27" s="27" t="n"/>
      <c r="F27" s="39" t="n"/>
      <c r="G27" s="40">
        <f>IFERROR($D27*INDEX('4 - Ingredients'!$G$5:$G$54,MATCH($C27,'4 - Ingredients'!$A$5:$A$54,0)),0)</f>
        <v/>
      </c>
      <c r="H27" s="27" t="n"/>
    </row>
    <row r="28">
      <c r="A28" s="38" t="inlineStr">
        <is>
          <t>Caramel Macchiato with Cold Foam</t>
        </is>
      </c>
      <c r="B28" s="27" t="n"/>
      <c r="C28" s="27" t="n"/>
      <c r="D28" s="27" t="n"/>
      <c r="E28" s="27" t="n"/>
      <c r="F28" s="39" t="n"/>
      <c r="G28" s="40">
        <f>IFERROR($D28*INDEX('4 - Ingredients'!$G$5:$G$54,MATCH($C28,'4 - Ingredients'!$A$5:$A$54,0)),0)</f>
        <v/>
      </c>
      <c r="H28" s="27" t="n"/>
    </row>
    <row r="29">
      <c r="A29" s="38" t="inlineStr">
        <is>
          <t>Caramel Macchiato with Cold Foam</t>
        </is>
      </c>
      <c r="B29" s="27" t="n"/>
      <c r="C29" s="27" t="n"/>
      <c r="D29" s="27" t="n"/>
      <c r="E29" s="27" t="n"/>
      <c r="F29" s="39" t="n"/>
      <c r="G29" s="40">
        <f>IFERROR($D29*INDEX('4 - Ingredients'!$G$5:$G$54,MATCH($C29,'4 - Ingredients'!$A$5:$A$54,0)),0)</f>
        <v/>
      </c>
      <c r="H29" s="27" t="n"/>
    </row>
    <row r="30">
      <c r="A30" s="38" t="inlineStr">
        <is>
          <t>Caramel Macchiato with Cold Foam</t>
        </is>
      </c>
      <c r="B30" s="27" t="n"/>
      <c r="C30" s="27" t="n"/>
      <c r="D30" s="27" t="n"/>
      <c r="E30" s="27" t="n"/>
      <c r="F30" s="39" t="n"/>
      <c r="G30" s="40">
        <f>IFERROR($D30*INDEX('4 - Ingredients'!$G$5:$G$54,MATCH($C30,'4 - Ingredients'!$A$5:$A$54,0)),0)</f>
        <v/>
      </c>
      <c r="H30" s="27" t="n"/>
    </row>
    <row r="31">
      <c r="A31" s="38" t="inlineStr">
        <is>
          <t>Caramel Macchiato with Cold Foam</t>
        </is>
      </c>
      <c r="B31" s="27" t="n"/>
      <c r="C31" s="27" t="n"/>
      <c r="D31" s="27" t="n"/>
      <c r="E31" s="27" t="n"/>
      <c r="F31" s="39" t="n"/>
      <c r="G31" s="40">
        <f>IFERROR($D31*INDEX('4 - Ingredients'!$G$5:$G$54,MATCH($C31,'4 - Ingredients'!$A$5:$A$54,0)),0)</f>
        <v/>
      </c>
      <c r="H31" s="27" t="n"/>
    </row>
    <row r="32">
      <c r="A32" s="38" t="inlineStr">
        <is>
          <t>Caramel Macchiato with Cold Foam</t>
        </is>
      </c>
      <c r="B32" s="27" t="n"/>
      <c r="C32" s="27" t="n"/>
      <c r="D32" s="27" t="n"/>
      <c r="E32" s="27" t="n"/>
      <c r="F32" s="39" t="n"/>
      <c r="G32" s="40">
        <f>IFERROR($D32*INDEX('4 - Ingredients'!$G$5:$G$54,MATCH($C32,'4 - Ingredients'!$A$5:$A$54,0)),0)</f>
        <v/>
      </c>
      <c r="H32" s="27" t="n"/>
    </row>
    <row r="34">
      <c r="A34" s="38" t="inlineStr">
        <is>
          <t>Matcha Latte</t>
        </is>
      </c>
      <c r="B34" s="27" t="n"/>
      <c r="C34" s="27" t="n"/>
      <c r="D34" s="27" t="n"/>
      <c r="E34" s="27" t="n"/>
      <c r="F34" s="39" t="n"/>
      <c r="G34" s="40">
        <f>IFERROR($D34*INDEX('4 - Ingredients'!$G$5:$G$54,MATCH($C34,'4 - Ingredients'!$A$5:$A$54,0)),0)</f>
        <v/>
      </c>
      <c r="H34" s="27" t="n"/>
    </row>
    <row r="35">
      <c r="A35" s="38" t="inlineStr">
        <is>
          <t>Matcha Latte</t>
        </is>
      </c>
      <c r="B35" s="27" t="n"/>
      <c r="C35" s="27" t="n"/>
      <c r="D35" s="27" t="n"/>
      <c r="E35" s="27" t="n"/>
      <c r="F35" s="39" t="n"/>
      <c r="G35" s="40">
        <f>IFERROR($D35*INDEX('4 - Ingredients'!$G$5:$G$54,MATCH($C35,'4 - Ingredients'!$A$5:$A$54,0)),0)</f>
        <v/>
      </c>
      <c r="H35" s="27" t="n"/>
    </row>
    <row r="36">
      <c r="A36" s="38" t="inlineStr">
        <is>
          <t>Matcha Latte</t>
        </is>
      </c>
      <c r="B36" s="27" t="n"/>
      <c r="C36" s="27" t="n"/>
      <c r="D36" s="27" t="n"/>
      <c r="E36" s="27" t="n"/>
      <c r="F36" s="39" t="n"/>
      <c r="G36" s="40">
        <f>IFERROR($D36*INDEX('4 - Ingredients'!$G$5:$G$54,MATCH($C36,'4 - Ingredients'!$A$5:$A$54,0)),0)</f>
        <v/>
      </c>
      <c r="H36" s="27" t="n"/>
    </row>
    <row r="37">
      <c r="A37" s="38" t="inlineStr">
        <is>
          <t>Matcha Latte</t>
        </is>
      </c>
      <c r="B37" s="27" t="n"/>
      <c r="C37" s="27" t="n"/>
      <c r="D37" s="27" t="n"/>
      <c r="E37" s="27" t="n"/>
      <c r="F37" s="39" t="n"/>
      <c r="G37" s="40">
        <f>IFERROR($D37*INDEX('4 - Ingredients'!$G$5:$G$54,MATCH($C37,'4 - Ingredients'!$A$5:$A$54,0)),0)</f>
        <v/>
      </c>
      <c r="H37" s="27" t="n"/>
    </row>
    <row r="38">
      <c r="A38" s="38" t="inlineStr">
        <is>
          <t>Matcha Latte</t>
        </is>
      </c>
      <c r="B38" s="27" t="n"/>
      <c r="C38" s="27" t="n"/>
      <c r="D38" s="27" t="n"/>
      <c r="E38" s="27" t="n"/>
      <c r="F38" s="39" t="n"/>
      <c r="G38" s="40">
        <f>IFERROR($D38*INDEX('4 - Ingredients'!$G$5:$G$54,MATCH($C38,'4 - Ingredients'!$A$5:$A$54,0)),0)</f>
        <v/>
      </c>
      <c r="H38" s="27" t="n"/>
    </row>
    <row r="39">
      <c r="A39" s="38" t="inlineStr">
        <is>
          <t>Matcha Latte</t>
        </is>
      </c>
      <c r="B39" s="27" t="n"/>
      <c r="C39" s="27" t="n"/>
      <c r="D39" s="27" t="n"/>
      <c r="E39" s="27" t="n"/>
      <c r="F39" s="39" t="n"/>
      <c r="G39" s="40">
        <f>IFERROR($D39*INDEX('4 - Ingredients'!$G$5:$G$54,MATCH($C39,'4 - Ingredients'!$A$5:$A$54,0)),0)</f>
        <v/>
      </c>
      <c r="H39" s="27" t="n"/>
    </row>
    <row r="40">
      <c r="A40" s="38" t="inlineStr">
        <is>
          <t>Matcha Latte</t>
        </is>
      </c>
      <c r="B40" s="27" t="n"/>
      <c r="C40" s="27" t="n"/>
      <c r="D40" s="27" t="n"/>
      <c r="E40" s="27" t="n"/>
      <c r="F40" s="39" t="n"/>
      <c r="G40" s="40">
        <f>IFERROR($D40*INDEX('4 - Ingredients'!$G$5:$G$54,MATCH($C40,'4 - Ingredients'!$A$5:$A$54,0)),0)</f>
        <v/>
      </c>
      <c r="H40" s="27" t="n"/>
    </row>
    <row r="41">
      <c r="A41" s="38" t="inlineStr">
        <is>
          <t>Matcha Latte</t>
        </is>
      </c>
      <c r="B41" s="27" t="n"/>
      <c r="C41" s="27" t="n"/>
      <c r="D41" s="27" t="n"/>
      <c r="E41" s="27" t="n"/>
      <c r="F41" s="39" t="n"/>
      <c r="G41" s="40">
        <f>IFERROR($D41*INDEX('4 - Ingredients'!$G$5:$G$54,MATCH($C41,'4 - Ingredients'!$A$5:$A$54,0)),0)</f>
        <v/>
      </c>
      <c r="H41" s="27" t="n"/>
    </row>
    <row r="43">
      <c r="A43" s="38" t="inlineStr">
        <is>
          <t>Vietnamese Coffee</t>
        </is>
      </c>
      <c r="B43" s="27" t="n"/>
      <c r="C43" s="27" t="n"/>
      <c r="D43" s="27" t="n"/>
      <c r="E43" s="27" t="n"/>
      <c r="F43" s="39" t="n"/>
      <c r="G43" s="40">
        <f>IFERROR($D43*INDEX('4 - Ingredients'!$G$5:$G$54,MATCH($C43,'4 - Ingredients'!$A$5:$A$54,0)),0)</f>
        <v/>
      </c>
      <c r="H43" s="27" t="n"/>
    </row>
    <row r="44">
      <c r="A44" s="38" t="inlineStr">
        <is>
          <t>Vietnamese Coffee</t>
        </is>
      </c>
      <c r="B44" s="27" t="n"/>
      <c r="C44" s="27" t="n"/>
      <c r="D44" s="27" t="n"/>
      <c r="E44" s="27" t="n"/>
      <c r="F44" s="39" t="n"/>
      <c r="G44" s="40">
        <f>IFERROR($D44*INDEX('4 - Ingredients'!$G$5:$G$54,MATCH($C44,'4 - Ingredients'!$A$5:$A$54,0)),0)</f>
        <v/>
      </c>
      <c r="H44" s="27" t="n"/>
    </row>
    <row r="45">
      <c r="A45" s="38" t="inlineStr">
        <is>
          <t>Vietnamese Coffee</t>
        </is>
      </c>
      <c r="B45" s="27" t="n"/>
      <c r="C45" s="27" t="n"/>
      <c r="D45" s="27" t="n"/>
      <c r="E45" s="27" t="n"/>
      <c r="F45" s="39" t="n"/>
      <c r="G45" s="40">
        <f>IFERROR($D45*INDEX('4 - Ingredients'!$G$5:$G$54,MATCH($C45,'4 - Ingredients'!$A$5:$A$54,0)),0)</f>
        <v/>
      </c>
      <c r="H45" s="27" t="n"/>
    </row>
    <row r="46">
      <c r="A46" s="38" t="inlineStr">
        <is>
          <t>Vietnamese Coffee</t>
        </is>
      </c>
      <c r="B46" s="27" t="n"/>
      <c r="C46" s="27" t="n"/>
      <c r="D46" s="27" t="n"/>
      <c r="E46" s="27" t="n"/>
      <c r="F46" s="39" t="n"/>
      <c r="G46" s="40">
        <f>IFERROR($D46*INDEX('4 - Ingredients'!$G$5:$G$54,MATCH($C46,'4 - Ingredients'!$A$5:$A$54,0)),0)</f>
        <v/>
      </c>
      <c r="H46" s="27" t="n"/>
    </row>
    <row r="47">
      <c r="A47" s="38" t="inlineStr">
        <is>
          <t>Vietnamese Coffee</t>
        </is>
      </c>
      <c r="B47" s="27" t="n"/>
      <c r="C47" s="27" t="n"/>
      <c r="D47" s="27" t="n"/>
      <c r="E47" s="27" t="n"/>
      <c r="F47" s="39" t="n"/>
      <c r="G47" s="40">
        <f>IFERROR($D47*INDEX('4 - Ingredients'!$G$5:$G$54,MATCH($C47,'4 - Ingredients'!$A$5:$A$54,0)),0)</f>
        <v/>
      </c>
      <c r="H47" s="27" t="n"/>
    </row>
    <row r="48">
      <c r="A48" s="38" t="inlineStr">
        <is>
          <t>Vietnamese Coffee</t>
        </is>
      </c>
      <c r="B48" s="27" t="n"/>
      <c r="C48" s="27" t="n"/>
      <c r="D48" s="27" t="n"/>
      <c r="E48" s="27" t="n"/>
      <c r="F48" s="39" t="n"/>
      <c r="G48" s="40">
        <f>IFERROR($D48*INDEX('4 - Ingredients'!$G$5:$G$54,MATCH($C48,'4 - Ingredients'!$A$5:$A$54,0)),0)</f>
        <v/>
      </c>
      <c r="H48" s="27" t="n"/>
    </row>
    <row r="49">
      <c r="A49" s="38" t="inlineStr">
        <is>
          <t>Vietnamese Coffee</t>
        </is>
      </c>
      <c r="B49" s="27" t="n"/>
      <c r="C49" s="27" t="n"/>
      <c r="D49" s="27" t="n"/>
      <c r="E49" s="27" t="n"/>
      <c r="F49" s="39" t="n"/>
      <c r="G49" s="40">
        <f>IFERROR($D49*INDEX('4 - Ingredients'!$G$5:$G$54,MATCH($C49,'4 - Ingredients'!$A$5:$A$54,0)),0)</f>
        <v/>
      </c>
      <c r="H49" s="27" t="n"/>
    </row>
    <row r="50">
      <c r="A50" s="38" t="inlineStr">
        <is>
          <t>Vietnamese Coffee</t>
        </is>
      </c>
      <c r="B50" s="27" t="n"/>
      <c r="C50" s="27" t="n"/>
      <c r="D50" s="27" t="n"/>
      <c r="E50" s="27" t="n"/>
      <c r="F50" s="39" t="n"/>
      <c r="G50" s="40">
        <f>IFERROR($D50*INDEX('4 - Ingredients'!$G$5:$G$54,MATCH($C50,'4 - Ingredients'!$A$5:$A$54,0)),0)</f>
        <v/>
      </c>
      <c r="H50" s="27" t="n"/>
    </row>
    <row r="52">
      <c r="A52" s="38" t="inlineStr">
        <is>
          <t>Vietnamese Sea Salt Cream</t>
        </is>
      </c>
      <c r="B52" s="27" t="n"/>
      <c r="C52" s="27" t="n"/>
      <c r="D52" s="27" t="n"/>
      <c r="E52" s="27" t="n"/>
      <c r="F52" s="39" t="n"/>
      <c r="G52" s="40">
        <f>IFERROR($D52*INDEX('4 - Ingredients'!$G$5:$G$54,MATCH($C52,'4 - Ingredients'!$A$5:$A$54,0)),0)</f>
        <v/>
      </c>
      <c r="H52" s="27" t="n"/>
    </row>
    <row r="53">
      <c r="A53" s="38" t="inlineStr">
        <is>
          <t>Vietnamese Sea Salt Cream</t>
        </is>
      </c>
      <c r="B53" s="27" t="n"/>
      <c r="C53" s="27" t="n"/>
      <c r="D53" s="27" t="n"/>
      <c r="E53" s="27" t="n"/>
      <c r="F53" s="39" t="n"/>
      <c r="G53" s="40">
        <f>IFERROR($D53*INDEX('4 - Ingredients'!$G$5:$G$54,MATCH($C53,'4 - Ingredients'!$A$5:$A$54,0)),0)</f>
        <v/>
      </c>
      <c r="H53" s="27" t="n"/>
    </row>
    <row r="54">
      <c r="A54" s="38" t="inlineStr">
        <is>
          <t>Vietnamese Sea Salt Cream</t>
        </is>
      </c>
      <c r="B54" s="27" t="n"/>
      <c r="C54" s="27" t="n"/>
      <c r="D54" s="27" t="n"/>
      <c r="E54" s="27" t="n"/>
      <c r="F54" s="39" t="n"/>
      <c r="G54" s="40">
        <f>IFERROR($D54*INDEX('4 - Ingredients'!$G$5:$G$54,MATCH($C54,'4 - Ingredients'!$A$5:$A$54,0)),0)</f>
        <v/>
      </c>
      <c r="H54" s="27" t="n"/>
    </row>
    <row r="55">
      <c r="A55" s="38" t="inlineStr">
        <is>
          <t>Vietnamese Sea Salt Cream</t>
        </is>
      </c>
      <c r="B55" s="27" t="n"/>
      <c r="C55" s="27" t="n"/>
      <c r="D55" s="27" t="n"/>
      <c r="E55" s="27" t="n"/>
      <c r="F55" s="39" t="n"/>
      <c r="G55" s="40">
        <f>IFERROR($D55*INDEX('4 - Ingredients'!$G$5:$G$54,MATCH($C55,'4 - Ingredients'!$A$5:$A$54,0)),0)</f>
        <v/>
      </c>
      <c r="H55" s="27" t="n"/>
    </row>
    <row r="56">
      <c r="A56" s="38" t="inlineStr">
        <is>
          <t>Vietnamese Sea Salt Cream</t>
        </is>
      </c>
      <c r="B56" s="27" t="n"/>
      <c r="C56" s="27" t="n"/>
      <c r="D56" s="27" t="n"/>
      <c r="E56" s="27" t="n"/>
      <c r="F56" s="39" t="n"/>
      <c r="G56" s="40">
        <f>IFERROR($D56*INDEX('4 - Ingredients'!$G$5:$G$54,MATCH($C56,'4 - Ingredients'!$A$5:$A$54,0)),0)</f>
        <v/>
      </c>
      <c r="H56" s="27" t="n"/>
    </row>
    <row r="57">
      <c r="A57" s="38" t="inlineStr">
        <is>
          <t>Vietnamese Sea Salt Cream</t>
        </is>
      </c>
      <c r="B57" s="27" t="n"/>
      <c r="C57" s="27" t="n"/>
      <c r="D57" s="27" t="n"/>
      <c r="E57" s="27" t="n"/>
      <c r="F57" s="39" t="n"/>
      <c r="G57" s="40">
        <f>IFERROR($D57*INDEX('4 - Ingredients'!$G$5:$G$54,MATCH($C57,'4 - Ingredients'!$A$5:$A$54,0)),0)</f>
        <v/>
      </c>
      <c r="H57" s="27" t="n"/>
    </row>
    <row r="58">
      <c r="A58" s="38" t="inlineStr">
        <is>
          <t>Vietnamese Sea Salt Cream</t>
        </is>
      </c>
      <c r="B58" s="27" t="n"/>
      <c r="C58" s="27" t="n"/>
      <c r="D58" s="27" t="n"/>
      <c r="E58" s="27" t="n"/>
      <c r="F58" s="39" t="n"/>
      <c r="G58" s="40">
        <f>IFERROR($D58*INDEX('4 - Ingredients'!$G$5:$G$54,MATCH($C58,'4 - Ingredients'!$A$5:$A$54,0)),0)</f>
        <v/>
      </c>
      <c r="H58" s="27" t="n"/>
    </row>
    <row r="59">
      <c r="A59" s="38" t="inlineStr">
        <is>
          <t>Vietnamese Sea Salt Cream</t>
        </is>
      </c>
      <c r="B59" s="27" t="n"/>
      <c r="C59" s="27" t="n"/>
      <c r="D59" s="27" t="n"/>
      <c r="E59" s="27" t="n"/>
      <c r="F59" s="39" t="n"/>
      <c r="G59" s="40">
        <f>IFERROR($D59*INDEX('4 - Ingredients'!$G$5:$G$54,MATCH($C59,'4 - Ingredients'!$A$5:$A$54,0)),0)</f>
        <v/>
      </c>
      <c r="H59" s="27" t="n"/>
    </row>
    <row r="61">
      <c r="A61" s="38" t="inlineStr">
        <is>
          <t>Vietnamese Egg Coffee</t>
        </is>
      </c>
      <c r="B61" s="27" t="n"/>
      <c r="C61" s="27" t="n"/>
      <c r="D61" s="27" t="n"/>
      <c r="E61" s="27" t="n"/>
      <c r="F61" s="39" t="n"/>
      <c r="G61" s="40">
        <f>IFERROR($D61*INDEX('4 - Ingredients'!$G$5:$G$54,MATCH($C61,'4 - Ingredients'!$A$5:$A$54,0)),0)</f>
        <v/>
      </c>
      <c r="H61" s="27" t="n"/>
    </row>
    <row r="62">
      <c r="A62" s="38" t="inlineStr">
        <is>
          <t>Vietnamese Egg Coffee</t>
        </is>
      </c>
      <c r="B62" s="27" t="n"/>
      <c r="C62" s="27" t="n"/>
      <c r="D62" s="27" t="n"/>
      <c r="E62" s="27" t="n"/>
      <c r="F62" s="39" t="n"/>
      <c r="G62" s="40">
        <f>IFERROR($D62*INDEX('4 - Ingredients'!$G$5:$G$54,MATCH($C62,'4 - Ingredients'!$A$5:$A$54,0)),0)</f>
        <v/>
      </c>
      <c r="H62" s="27" t="n"/>
    </row>
    <row r="63">
      <c r="A63" s="38" t="inlineStr">
        <is>
          <t>Vietnamese Egg Coffee</t>
        </is>
      </c>
      <c r="B63" s="27" t="n"/>
      <c r="C63" s="27" t="n"/>
      <c r="D63" s="27" t="n"/>
      <c r="E63" s="27" t="n"/>
      <c r="F63" s="39" t="n"/>
      <c r="G63" s="40">
        <f>IFERROR($D63*INDEX('4 - Ingredients'!$G$5:$G$54,MATCH($C63,'4 - Ingredients'!$A$5:$A$54,0)),0)</f>
        <v/>
      </c>
      <c r="H63" s="27" t="n"/>
    </row>
    <row r="64">
      <c r="A64" s="38" t="inlineStr">
        <is>
          <t>Vietnamese Egg Coffee</t>
        </is>
      </c>
      <c r="B64" s="27" t="n"/>
      <c r="C64" s="27" t="n"/>
      <c r="D64" s="27" t="n"/>
      <c r="E64" s="27" t="n"/>
      <c r="F64" s="39" t="n"/>
      <c r="G64" s="40">
        <f>IFERROR($D64*INDEX('4 - Ingredients'!$G$5:$G$54,MATCH($C64,'4 - Ingredients'!$A$5:$A$54,0)),0)</f>
        <v/>
      </c>
      <c r="H64" s="27" t="n"/>
    </row>
    <row r="65">
      <c r="A65" s="38" t="inlineStr">
        <is>
          <t>Vietnamese Egg Coffee</t>
        </is>
      </c>
      <c r="B65" s="27" t="n"/>
      <c r="C65" s="27" t="n"/>
      <c r="D65" s="27" t="n"/>
      <c r="E65" s="27" t="n"/>
      <c r="F65" s="39" t="n"/>
      <c r="G65" s="40">
        <f>IFERROR($D65*INDEX('4 - Ingredients'!$G$5:$G$54,MATCH($C65,'4 - Ingredients'!$A$5:$A$54,0)),0)</f>
        <v/>
      </c>
      <c r="H65" s="27" t="n"/>
    </row>
    <row r="66">
      <c r="A66" s="38" t="inlineStr">
        <is>
          <t>Vietnamese Egg Coffee</t>
        </is>
      </c>
      <c r="B66" s="27" t="n"/>
      <c r="C66" s="27" t="n"/>
      <c r="D66" s="27" t="n"/>
      <c r="E66" s="27" t="n"/>
      <c r="F66" s="39" t="n"/>
      <c r="G66" s="40">
        <f>IFERROR($D66*INDEX('4 - Ingredients'!$G$5:$G$54,MATCH($C66,'4 - Ingredients'!$A$5:$A$54,0)),0)</f>
        <v/>
      </c>
      <c r="H66" s="27" t="n"/>
    </row>
    <row r="67">
      <c r="A67" s="38" t="inlineStr">
        <is>
          <t>Vietnamese Egg Coffee</t>
        </is>
      </c>
      <c r="B67" s="27" t="n"/>
      <c r="C67" s="27" t="n"/>
      <c r="D67" s="27" t="n"/>
      <c r="E67" s="27" t="n"/>
      <c r="F67" s="39" t="n"/>
      <c r="G67" s="40">
        <f>IFERROR($D67*INDEX('4 - Ingredients'!$G$5:$G$54,MATCH($C67,'4 - Ingredients'!$A$5:$A$54,0)),0)</f>
        <v/>
      </c>
      <c r="H67" s="27" t="n"/>
    </row>
    <row r="68">
      <c r="A68" s="38" t="inlineStr">
        <is>
          <t>Vietnamese Egg Coffee</t>
        </is>
      </c>
      <c r="B68" s="27" t="n"/>
      <c r="C68" s="27" t="n"/>
      <c r="D68" s="27" t="n"/>
      <c r="E68" s="27" t="n"/>
      <c r="F68" s="39" t="n"/>
      <c r="G68" s="40">
        <f>IFERROR($D68*INDEX('4 - Ingredients'!$G$5:$G$54,MATCH($C68,'4 - Ingredients'!$A$5:$A$54,0)),0)</f>
        <v/>
      </c>
      <c r="H68" s="27" t="n"/>
    </row>
    <row r="71">
      <c r="A71" s="28" t="inlineStr">
        <is>
          <t>Ingredient names must match sheet 4 exactly, or the cost will show as ₱0.00.</t>
        </is>
      </c>
    </row>
    <row r="72">
      <c r="A72" s="28" t="inlineStr">
        <is>
          <t>Ran out of lines for a drink? Insert more rows — just copy an existing row so the cost formula comes with it.</t>
        </is>
      </c>
    </row>
  </sheetData>
  <mergeCells count="4">
    <mergeCell ref="A71:H71"/>
    <mergeCell ref="A2:H2"/>
    <mergeCell ref="A72:H72"/>
    <mergeCell ref="A1:H1"/>
  </mergeCells>
  <dataValidations count="1">
    <dataValidation sqref="E7 E8 E9 E10 E11 E12 E13 E14 E16 E17 E18 E19 E20 E21 E22 E23 E25 E26 E27 E28 E29 E30 E31 E32 E34 E35 E36 E37 E38 E39 E40 E41 E43 E44 E45 E46 E47 E48 E49 E50 E52 E53 E54 E55 E56 E57 E58 E59 E61 E62 E63 E64 E65 E66 E67 E68" showDropDown="0" showInputMessage="0" showErrorMessage="0" allowBlank="1" type="list">
      <formula1>"g,ml,pcs"</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3"/>
  <sheetViews>
    <sheetView showGridLines="0" workbookViewId="0">
      <pane ySplit="4" topLeftCell="A5" activePane="bottomLeft" state="frozen"/>
      <selection pane="bottomLeft" activeCell="A1" sqref="A1"/>
    </sheetView>
  </sheetViews>
  <sheetFormatPr baseColWidth="8" defaultRowHeight="15"/>
  <cols>
    <col width="28" customWidth="1" min="1" max="1"/>
    <col width="24" customWidth="1" min="2" max="2"/>
    <col width="28" customWidth="1" min="3" max="3"/>
    <col width="40" customWidth="1" min="4" max="4"/>
    <col width="32" customWidth="1" min="5" max="5"/>
  </cols>
  <sheetData>
    <row r="1" ht="22" customHeight="1">
      <c r="A1" s="14" t="inlineStr">
        <is>
          <t>Who you buy from</t>
        </is>
      </c>
    </row>
    <row r="2" ht="30" customHeight="1">
      <c r="A2" s="15" t="inlineStr">
        <is>
          <t>Only what you need to reorder. Skip anything you do not track.</t>
        </is>
      </c>
    </row>
    <row r="4" ht="30" customHeight="1">
      <c r="A4" s="16" t="inlineStr">
        <is>
          <t>Supplier</t>
        </is>
      </c>
      <c r="B4" s="16" t="inlineStr">
        <is>
          <t>Contact person</t>
        </is>
      </c>
      <c r="C4" s="16" t="inlineStr">
        <is>
          <t>Phone / Viber / page</t>
        </is>
      </c>
      <c r="D4" s="16" t="inlineStr">
        <is>
          <t>What you buy from them</t>
        </is>
      </c>
      <c r="E4" s="16" t="inlineStr">
        <is>
          <t>Your notes</t>
        </is>
      </c>
    </row>
    <row r="5">
      <c r="A5" s="33" t="inlineStr">
        <is>
          <t>Bean roaster (example — type over)</t>
        </is>
      </c>
      <c r="B5" s="33" t="inlineStr">
        <is>
          <t>Ate Jen</t>
        </is>
      </c>
      <c r="C5" s="33" t="inlineStr">
        <is>
          <t>0917 000 0000</t>
        </is>
      </c>
      <c r="D5" s="33" t="inlineStr">
        <is>
          <t>Coffee beans</t>
        </is>
      </c>
      <c r="E5" s="33" t="inlineStr">
        <is>
          <t>Delivers Tuesdays</t>
        </is>
      </c>
    </row>
    <row r="6">
      <c r="A6" s="27" t="n"/>
      <c r="B6" s="27" t="n"/>
      <c r="C6" s="27" t="n"/>
      <c r="D6" s="27" t="n"/>
      <c r="E6" s="27" t="n"/>
    </row>
    <row r="7">
      <c r="A7" s="27" t="n"/>
      <c r="B7" s="27" t="n"/>
      <c r="C7" s="27" t="n"/>
      <c r="D7" s="27" t="n"/>
      <c r="E7" s="27" t="n"/>
    </row>
    <row r="8">
      <c r="A8" s="27" t="n"/>
      <c r="B8" s="27" t="n"/>
      <c r="C8" s="27" t="n"/>
      <c r="D8" s="27" t="n"/>
      <c r="E8" s="27" t="n"/>
    </row>
    <row r="9">
      <c r="A9" s="27" t="n"/>
      <c r="B9" s="27" t="n"/>
      <c r="C9" s="27" t="n"/>
      <c r="D9" s="27" t="n"/>
      <c r="E9" s="27" t="n"/>
    </row>
    <row r="10">
      <c r="A10" s="27" t="n"/>
      <c r="B10" s="27" t="n"/>
      <c r="C10" s="27" t="n"/>
      <c r="D10" s="27" t="n"/>
      <c r="E10" s="27" t="n"/>
    </row>
    <row r="11">
      <c r="A11" s="27" t="n"/>
      <c r="B11" s="27" t="n"/>
      <c r="C11" s="27" t="n"/>
      <c r="D11" s="27" t="n"/>
      <c r="E11" s="27" t="n"/>
    </row>
    <row r="12">
      <c r="A12" s="27" t="n"/>
      <c r="B12" s="27" t="n"/>
      <c r="C12" s="27" t="n"/>
      <c r="D12" s="27" t="n"/>
      <c r="E12" s="27" t="n"/>
    </row>
    <row r="13">
      <c r="A13" s="27" t="n"/>
      <c r="B13" s="27" t="n"/>
      <c r="C13" s="27" t="n"/>
      <c r="D13" s="27" t="n"/>
      <c r="E13" s="27" t="n"/>
    </row>
    <row r="14">
      <c r="A14" s="27" t="n"/>
      <c r="B14" s="27" t="n"/>
      <c r="C14" s="27" t="n"/>
      <c r="D14" s="27" t="n"/>
      <c r="E14" s="27" t="n"/>
    </row>
    <row r="15">
      <c r="A15" s="27" t="n"/>
      <c r="B15" s="27" t="n"/>
      <c r="C15" s="27" t="n"/>
      <c r="D15" s="27" t="n"/>
      <c r="E15" s="27" t="n"/>
    </row>
    <row r="16">
      <c r="A16" s="27" t="n"/>
      <c r="B16" s="27" t="n"/>
      <c r="C16" s="27" t="n"/>
      <c r="D16" s="27" t="n"/>
      <c r="E16" s="27" t="n"/>
    </row>
    <row r="17">
      <c r="A17" s="27" t="n"/>
      <c r="B17" s="27" t="n"/>
      <c r="C17" s="27" t="n"/>
      <c r="D17" s="27" t="n"/>
      <c r="E17" s="27" t="n"/>
    </row>
    <row r="18">
      <c r="A18" s="27" t="n"/>
      <c r="B18" s="27" t="n"/>
      <c r="C18" s="27" t="n"/>
      <c r="D18" s="27" t="n"/>
      <c r="E18" s="27" t="n"/>
    </row>
    <row r="19">
      <c r="A19" s="27" t="n"/>
      <c r="B19" s="27" t="n"/>
      <c r="C19" s="27" t="n"/>
      <c r="D19" s="27" t="n"/>
      <c r="E19" s="27" t="n"/>
    </row>
    <row r="20">
      <c r="A20" s="27" t="n"/>
      <c r="B20" s="27" t="n"/>
      <c r="C20" s="27" t="n"/>
      <c r="D20" s="27" t="n"/>
      <c r="E20" s="27" t="n"/>
    </row>
    <row r="21">
      <c r="A21" s="27" t="n"/>
      <c r="B21" s="27" t="n"/>
      <c r="C21" s="27" t="n"/>
      <c r="D21" s="27" t="n"/>
      <c r="E21" s="27" t="n"/>
    </row>
    <row r="22">
      <c r="A22" s="27" t="n"/>
      <c r="B22" s="27" t="n"/>
      <c r="C22" s="27" t="n"/>
      <c r="D22" s="27" t="n"/>
      <c r="E22" s="27" t="n"/>
    </row>
    <row r="23">
      <c r="A23" s="27" t="n"/>
      <c r="B23" s="27" t="n"/>
      <c r="C23" s="27" t="n"/>
      <c r="D23" s="27" t="n"/>
      <c r="E23" s="27" t="n"/>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5"/>
  <sheetViews>
    <sheetView showGridLines="0" workbookViewId="0">
      <selection activeCell="A1" sqref="A1"/>
    </sheetView>
  </sheetViews>
  <sheetFormatPr baseColWidth="8" defaultRowHeight="15"/>
  <cols>
    <col width="46" customWidth="1" min="1" max="1"/>
    <col width="30" customWidth="1" min="2" max="2"/>
    <col width="58" customWidth="1" min="3" max="3"/>
  </cols>
  <sheetData>
    <row r="1" ht="22" customHeight="1">
      <c r="A1" s="14" t="inlineStr">
        <is>
          <t>Business setup</t>
        </is>
      </c>
    </row>
    <row r="2" ht="30" customHeight="1">
      <c r="A2" s="15" t="inlineStr">
        <is>
          <t>Two minutes. These are all changeable in the app afterwards, so a rough answer is fine.</t>
        </is>
      </c>
    </row>
    <row r="4" ht="28" customHeight="1">
      <c r="A4" s="24" t="inlineStr">
        <is>
          <t>Business name, exactly as it should print on reports</t>
        </is>
      </c>
      <c r="B4" s="27" t="n"/>
      <c r="C4" s="41" t="inlineStr">
        <is>
          <t>e.g. Kubo Cà Phê</t>
        </is>
      </c>
    </row>
    <row r="5" ht="28" customHeight="1">
      <c r="A5" s="24" t="inlineStr">
        <is>
          <t>What time do you usually open?</t>
        </is>
      </c>
      <c r="B5" s="27" t="n"/>
      <c r="C5" s="41" t="inlineStr">
        <is>
          <t>For the daily totals</t>
        </is>
      </c>
    </row>
    <row r="6" ht="28" customHeight="1">
      <c r="A6" s="24" t="inlineStr">
        <is>
          <t>What time do you usually close?</t>
        </is>
      </c>
      <c r="B6" s="27" t="n"/>
      <c r="C6" s="41" t="inlineStr"/>
    </row>
    <row r="7" ht="28" customHeight="1">
      <c r="A7" s="24" t="inlineStr">
        <is>
          <t>If you sell at 12:30am, which day should it count as?</t>
        </is>
      </c>
      <c r="B7" s="27" t="n"/>
      <c r="C7" s="41" t="inlineStr">
        <is>
          <t>Most shops say "the day before". This sets when the trading day rolls over.</t>
        </is>
      </c>
    </row>
    <row r="8" ht="28" customHeight="1">
      <c r="A8" s="24" t="inlineStr">
        <is>
          <t>Order numbers — plain 0001, or with a letter in front?</t>
        </is>
      </c>
      <c r="B8" s="27" t="n"/>
      <c r="C8" s="41" t="inlineStr">
        <is>
          <t>e.g. K-0001</t>
        </is>
      </c>
    </row>
    <row r="9" ht="28" customHeight="1">
      <c r="A9" s="24" t="inlineStr">
        <is>
          <t>Should order numbers start again from 1 each day?</t>
        </is>
      </c>
      <c r="B9" s="27" t="n"/>
      <c r="C9" s="41" t="inlineStr">
        <is>
          <t>Yes or No</t>
        </is>
      </c>
    </row>
    <row r="10" ht="28" customHeight="1">
      <c r="A10" s="24" t="inlineStr">
        <is>
          <t>Do you want the customer name shown on the order screen?</t>
        </is>
      </c>
      <c r="B10" s="27" t="n"/>
      <c r="C10" s="41" t="inlineStr">
        <is>
          <t>Yes or No</t>
        </is>
      </c>
    </row>
    <row r="11" ht="28" customHeight="1">
      <c r="A11" s="24" t="inlineStr">
        <is>
          <t>Cash and GCash only, for now?</t>
        </is>
      </c>
      <c r="B11" s="27" t="n"/>
      <c r="C11" s="41" t="inlineStr">
        <is>
          <t>Yes or No — anything else and tell me what</t>
        </is>
      </c>
    </row>
    <row r="12" ht="28" customHeight="1">
      <c r="A12" s="24" t="inlineStr">
        <is>
          <t>Do you ever give discounts?</t>
        </is>
      </c>
      <c r="B12" s="27" t="n"/>
      <c r="C12" s="41" t="inlineStr">
        <is>
          <t>Not built yet, but tell me if you will need it</t>
        </is>
      </c>
    </row>
    <row r="13" ht="28" customHeight="1">
      <c r="A13" s="24" t="inlineStr">
        <is>
          <t>Do you want a receipt at all — printed, or sent?</t>
        </is>
      </c>
      <c r="B13" s="27" t="n"/>
      <c r="C13" s="41" t="inlineStr">
        <is>
          <t>Not built in this version; asking for later</t>
        </is>
      </c>
    </row>
    <row r="14" ht="28" customHeight="1">
      <c r="A14" s="24" t="inlineStr">
        <is>
          <t>Roughly how many drinks on a normal day?</t>
        </is>
      </c>
      <c r="B14" s="27" t="n"/>
      <c r="C14" s="41" t="inlineStr">
        <is>
          <t>Helps me size things sensibly</t>
        </is>
      </c>
    </row>
    <row r="15" ht="28" customHeight="1">
      <c r="A15" s="24" t="inlineStr">
        <is>
          <t>Roughly how many on your busiest day?</t>
        </is>
      </c>
      <c r="B15" s="27" t="n"/>
      <c r="C15" s="41" t="inlineStr"/>
    </row>
  </sheetData>
  <mergeCells count="2">
    <mergeCell ref="A1:C1"/>
    <mergeCell ref="A2:C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1"/>
  <sheetViews>
    <sheetView showGridLines="0" workbookViewId="0">
      <selection activeCell="A1" sqref="A1"/>
    </sheetView>
  </sheetViews>
  <sheetFormatPr baseColWidth="8" defaultRowHeight="15"/>
  <cols>
    <col width="44" customWidth="1" min="1" max="1"/>
    <col width="80" customWidth="1" min="2" max="2"/>
  </cols>
  <sheetData>
    <row r="1" ht="22" customHeight="1">
      <c r="A1" s="14" t="inlineStr">
        <is>
          <t>Over to you</t>
        </is>
      </c>
    </row>
    <row r="2" ht="30" customHeight="1">
      <c r="A2" s="15" t="inlineStr">
        <is>
          <t>Anything the sheet did not ask about, anything you want the app to do, anything that annoys you about how you work now. Write it however you like — rough is fine, and nothing here is a commitment.</t>
        </is>
      </c>
    </row>
    <row r="4" ht="54" customHeight="1">
      <c r="A4" s="42" t="inlineStr">
        <is>
          <t>What takes the longest when you are serving someone?</t>
        </is>
      </c>
      <c r="B4" s="43" t="n"/>
    </row>
    <row r="5" ht="54" customHeight="1">
      <c r="A5" s="42" t="inlineStr">
        <is>
          <t>What do you currently write down on paper?</t>
        </is>
      </c>
      <c r="B5" s="43" t="n"/>
    </row>
    <row r="6" ht="54" customHeight="1">
      <c r="A6" s="42" t="inlineStr">
        <is>
          <t>What do you most often forget to record?</t>
        </is>
      </c>
      <c r="B6" s="43" t="n"/>
    </row>
    <row r="7" ht="54" customHeight="1">
      <c r="A7" s="42" t="inlineStr">
        <is>
          <t>Which numbers do you actually want to see at the end of a day?</t>
        </is>
      </c>
      <c r="B7" s="43" t="n"/>
    </row>
    <row r="8" ht="54" customHeight="1">
      <c r="A8" s="42" t="inlineStr">
        <is>
          <t>Is there anything on the menu that is fiddly to ring up?</t>
        </is>
      </c>
      <c r="B8" s="43" t="n"/>
    </row>
    <row r="9" ht="54" customHeight="1">
      <c r="A9" s="42" t="inlineStr">
        <is>
          <t>Anything you want the app to do that I have not mentioned?</t>
        </is>
      </c>
      <c r="B9" s="43" t="n"/>
    </row>
    <row r="10" ht="54" customHeight="1">
      <c r="A10" s="42" t="inlineStr">
        <is>
          <t>Anything you want it NOT to do?</t>
        </is>
      </c>
      <c r="B10" s="43" t="n"/>
    </row>
    <row r="11" ht="54" customHeight="1">
      <c r="A11" s="42" t="inlineStr">
        <is>
          <t>Anything else — write freely</t>
        </is>
      </c>
      <c r="B11" s="43" t="n"/>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2026-08-19T19:15:20Z</dcterms:created>
  <dcterms:modified xsi:type="dcterms:W3CDTF">2026-08-19T19:15:20Z</dcterms:modified>
</cp:coreProperties>
</file>